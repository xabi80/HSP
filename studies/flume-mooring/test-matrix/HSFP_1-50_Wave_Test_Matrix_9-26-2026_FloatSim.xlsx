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38421b3c6b4430/Documents/buoy/HSP_code/studies/flume-mooring/test-matrix/"/>
    </mc:Choice>
  </mc:AlternateContent>
  <xr:revisionPtr revIDLastSave="0" documentId="11_D1E610E973AF237DDBE63D0EF8B33F4A64AE65A6" xr6:coauthVersionLast="47" xr6:coauthVersionMax="47" xr10:uidLastSave="{00000000-0000-0000-0000-000000000000}"/>
  <bookViews>
    <workbookView xWindow="5240" yWindow="4110" windowWidth="19200" windowHeight="11170" tabRatio="500" xr2:uid="{00000000-000D-0000-FFFF-FFFF00000000}"/>
  </bookViews>
  <sheets>
    <sheet name="Summary" sheetId="1" r:id="rId1"/>
    <sheet name="Inputs" sheetId="2" r:id="rId2"/>
    <sheet name="Regular_Waves" sheetId="3" r:id="rId3"/>
    <sheet name="Irregular_Seas" sheetId="4" r:id="rId4"/>
    <sheet name="Configurations" sheetId="5" r:id="rId5"/>
    <sheet name="FloatSim_Predictio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6" l="1"/>
  <c r="F31" i="6"/>
  <c r="G30" i="6"/>
  <c r="F30" i="6"/>
  <c r="G29" i="6"/>
  <c r="F29" i="6"/>
  <c r="G28" i="6"/>
  <c r="F28" i="6"/>
  <c r="G27" i="6"/>
  <c r="F27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L19" i="5"/>
  <c r="K19" i="5"/>
  <c r="J19" i="5"/>
  <c r="C13" i="1" s="1"/>
  <c r="J18" i="5"/>
  <c r="L17" i="5"/>
  <c r="K17" i="5"/>
  <c r="J17" i="5"/>
  <c r="N17" i="5" s="1"/>
  <c r="J16" i="5"/>
  <c r="J15" i="5"/>
  <c r="J14" i="5"/>
  <c r="C7" i="1" s="1"/>
  <c r="J13" i="5"/>
  <c r="L12" i="5"/>
  <c r="J12" i="5"/>
  <c r="J11" i="5"/>
  <c r="J10" i="5"/>
  <c r="J9" i="5"/>
  <c r="L8" i="5"/>
  <c r="K8" i="5"/>
  <c r="J8" i="5"/>
  <c r="N8" i="5" s="1"/>
  <c r="L7" i="5"/>
  <c r="J7" i="5"/>
  <c r="J6" i="5"/>
  <c r="J5" i="5"/>
  <c r="P18" i="4"/>
  <c r="O18" i="4"/>
  <c r="K18" i="4"/>
  <c r="J18" i="4"/>
  <c r="L18" i="4" s="1"/>
  <c r="M18" i="4" s="1"/>
  <c r="P17" i="4"/>
  <c r="O17" i="4"/>
  <c r="K17" i="4"/>
  <c r="J17" i="4"/>
  <c r="L17" i="4" s="1"/>
  <c r="P16" i="4"/>
  <c r="O16" i="4"/>
  <c r="K16" i="4"/>
  <c r="J16" i="4"/>
  <c r="L16" i="4" s="1"/>
  <c r="N16" i="4" s="1"/>
  <c r="P15" i="4"/>
  <c r="O15" i="4"/>
  <c r="L15" i="4"/>
  <c r="K15" i="4"/>
  <c r="J15" i="4"/>
  <c r="P14" i="4"/>
  <c r="O14" i="4"/>
  <c r="K14" i="4"/>
  <c r="J14" i="4"/>
  <c r="L14" i="4" s="1"/>
  <c r="P13" i="4"/>
  <c r="O13" i="4"/>
  <c r="K13" i="4"/>
  <c r="J13" i="4"/>
  <c r="L13" i="4" s="1"/>
  <c r="P12" i="4"/>
  <c r="O12" i="4"/>
  <c r="K12" i="4"/>
  <c r="J12" i="4"/>
  <c r="L12" i="4" s="1"/>
  <c r="P11" i="4"/>
  <c r="O11" i="4"/>
  <c r="K11" i="4"/>
  <c r="J11" i="4"/>
  <c r="L11" i="4" s="1"/>
  <c r="P10" i="4"/>
  <c r="O10" i="4"/>
  <c r="K10" i="4"/>
  <c r="J10" i="4"/>
  <c r="L10" i="4" s="1"/>
  <c r="P9" i="4"/>
  <c r="O9" i="4"/>
  <c r="K9" i="4"/>
  <c r="J9" i="4"/>
  <c r="L9" i="4" s="1"/>
  <c r="P8" i="4"/>
  <c r="O8" i="4"/>
  <c r="K8" i="4"/>
  <c r="J8" i="4"/>
  <c r="L8" i="4" s="1"/>
  <c r="M8" i="4" s="1"/>
  <c r="P7" i="4"/>
  <c r="O7" i="4"/>
  <c r="K7" i="4"/>
  <c r="J7" i="4"/>
  <c r="L7" i="4" s="1"/>
  <c r="N7" i="4" s="1"/>
  <c r="P6" i="4"/>
  <c r="O6" i="4"/>
  <c r="K6" i="4"/>
  <c r="J6" i="4"/>
  <c r="L6" i="4" s="1"/>
  <c r="P5" i="4"/>
  <c r="O5" i="4"/>
  <c r="K5" i="4"/>
  <c r="J5" i="4"/>
  <c r="L5" i="4" s="1"/>
  <c r="C26" i="3"/>
  <c r="M26" i="3" s="1"/>
  <c r="N26" i="3" s="1"/>
  <c r="B26" i="3"/>
  <c r="S26" i="3" s="1"/>
  <c r="C25" i="3"/>
  <c r="I25" i="3" s="1"/>
  <c r="J25" i="3" s="1"/>
  <c r="B25" i="3"/>
  <c r="S25" i="3" s="1"/>
  <c r="C24" i="3"/>
  <c r="K24" i="3" s="1"/>
  <c r="L24" i="3" s="1"/>
  <c r="B24" i="3"/>
  <c r="S24" i="3" s="1"/>
  <c r="C23" i="3"/>
  <c r="K23" i="3" s="1"/>
  <c r="L23" i="3" s="1"/>
  <c r="B23" i="3"/>
  <c r="S22" i="3"/>
  <c r="C22" i="3"/>
  <c r="K22" i="3" s="1"/>
  <c r="L22" i="3" s="1"/>
  <c r="B22" i="3"/>
  <c r="C21" i="3"/>
  <c r="M21" i="3" s="1"/>
  <c r="N21" i="3" s="1"/>
  <c r="B21" i="3"/>
  <c r="S21" i="3" s="1"/>
  <c r="C20" i="3"/>
  <c r="M20" i="3" s="1"/>
  <c r="N20" i="3" s="1"/>
  <c r="B20" i="3"/>
  <c r="S19" i="3"/>
  <c r="C19" i="3"/>
  <c r="M19" i="3" s="1"/>
  <c r="N19" i="3" s="1"/>
  <c r="B19" i="3"/>
  <c r="C18" i="3"/>
  <c r="M18" i="3" s="1"/>
  <c r="N18" i="3" s="1"/>
  <c r="B18" i="3"/>
  <c r="C17" i="3"/>
  <c r="I17" i="3" s="1"/>
  <c r="J17" i="3" s="1"/>
  <c r="B17" i="3"/>
  <c r="C16" i="3"/>
  <c r="K16" i="3" s="1"/>
  <c r="L16" i="3" s="1"/>
  <c r="B16" i="3"/>
  <c r="M15" i="3"/>
  <c r="N15" i="3" s="1"/>
  <c r="K15" i="3"/>
  <c r="L15" i="3" s="1"/>
  <c r="I15" i="3"/>
  <c r="J15" i="3" s="1"/>
  <c r="P15" i="3" s="1"/>
  <c r="C15" i="3"/>
  <c r="B15" i="3"/>
  <c r="S15" i="3" s="1"/>
  <c r="C14" i="3"/>
  <c r="D14" i="3" s="1"/>
  <c r="B14" i="3"/>
  <c r="M13" i="3"/>
  <c r="N13" i="3" s="1"/>
  <c r="L13" i="3"/>
  <c r="K13" i="3"/>
  <c r="C13" i="3"/>
  <c r="B13" i="3"/>
  <c r="S13" i="3" s="1"/>
  <c r="C12" i="3"/>
  <c r="B12" i="3"/>
  <c r="S12" i="3" s="1"/>
  <c r="C11" i="3"/>
  <c r="K11" i="3" s="1"/>
  <c r="L11" i="3" s="1"/>
  <c r="B11" i="3"/>
  <c r="S10" i="3"/>
  <c r="C10" i="3"/>
  <c r="I10" i="3" s="1"/>
  <c r="J10" i="3" s="1"/>
  <c r="B10" i="3"/>
  <c r="K9" i="3"/>
  <c r="L9" i="3" s="1"/>
  <c r="C9" i="3"/>
  <c r="M9" i="3" s="1"/>
  <c r="N9" i="3" s="1"/>
  <c r="B9" i="3"/>
  <c r="C8" i="3"/>
  <c r="K8" i="3" s="1"/>
  <c r="L8" i="3" s="1"/>
  <c r="B8" i="3"/>
  <c r="M7" i="3"/>
  <c r="N7" i="3" s="1"/>
  <c r="C7" i="3"/>
  <c r="K7" i="3" s="1"/>
  <c r="L7" i="3" s="1"/>
  <c r="B7" i="3"/>
  <c r="S7" i="3" s="1"/>
  <c r="C6" i="3"/>
  <c r="M6" i="3" s="1"/>
  <c r="N6" i="3" s="1"/>
  <c r="B6" i="3"/>
  <c r="S6" i="3" s="1"/>
  <c r="C5" i="3"/>
  <c r="M5" i="3" s="1"/>
  <c r="N5" i="3" s="1"/>
  <c r="B5" i="3"/>
  <c r="S5" i="3" s="1"/>
  <c r="B40" i="2"/>
  <c r="B39" i="2"/>
  <c r="B38" i="2"/>
  <c r="B37" i="2"/>
  <c r="B30" i="2"/>
  <c r="B29" i="2"/>
  <c r="B47" i="2" s="1"/>
  <c r="B27" i="2"/>
  <c r="B10" i="2"/>
  <c r="B8" i="2"/>
  <c r="F13" i="1"/>
  <c r="B13" i="1"/>
  <c r="F12" i="1"/>
  <c r="B12" i="1"/>
  <c r="F7" i="1"/>
  <c r="B7" i="1"/>
  <c r="F6" i="1"/>
  <c r="C6" i="1"/>
  <c r="B6" i="1"/>
  <c r="F5" i="1"/>
  <c r="B5" i="1"/>
  <c r="M17" i="4" l="1"/>
  <c r="N17" i="4"/>
  <c r="G12" i="3"/>
  <c r="I12" i="3"/>
  <c r="J12" i="3" s="1"/>
  <c r="K25" i="3"/>
  <c r="L25" i="3" s="1"/>
  <c r="G14" i="3"/>
  <c r="G10" i="3"/>
  <c r="H21" i="3"/>
  <c r="I11" i="3"/>
  <c r="J11" i="3" s="1"/>
  <c r="D16" i="3"/>
  <c r="E16" i="3" s="1"/>
  <c r="F16" i="3" s="1"/>
  <c r="M24" i="3"/>
  <c r="N24" i="3" s="1"/>
  <c r="B48" i="2"/>
  <c r="B49" i="2"/>
  <c r="M12" i="3"/>
  <c r="N12" i="3" s="1"/>
  <c r="O12" i="3" s="1"/>
  <c r="D13" i="3"/>
  <c r="E13" i="3" s="1"/>
  <c r="F13" i="3" s="1"/>
  <c r="M25" i="3"/>
  <c r="N25" i="3" s="1"/>
  <c r="P25" i="3" s="1"/>
  <c r="G5" i="3"/>
  <c r="G13" i="3"/>
  <c r="H12" i="3"/>
  <c r="M16" i="3"/>
  <c r="N16" i="3" s="1"/>
  <c r="M10" i="3"/>
  <c r="N10" i="3" s="1"/>
  <c r="C37" i="2"/>
  <c r="M23" i="3"/>
  <c r="N23" i="3" s="1"/>
  <c r="I16" i="3"/>
  <c r="J16" i="3" s="1"/>
  <c r="C39" i="2"/>
  <c r="K12" i="3"/>
  <c r="L12" i="3" s="1"/>
  <c r="B50" i="2"/>
  <c r="I5" i="3"/>
  <c r="J5" i="3" s="1"/>
  <c r="P5" i="3" s="1"/>
  <c r="H13" i="3"/>
  <c r="I13" i="3"/>
  <c r="J13" i="3" s="1"/>
  <c r="O13" i="3" s="1"/>
  <c r="K26" i="3"/>
  <c r="L26" i="3" s="1"/>
  <c r="M22" i="3"/>
  <c r="N22" i="3" s="1"/>
  <c r="C38" i="2"/>
  <c r="T14" i="3" s="1"/>
  <c r="C5" i="1"/>
  <c r="C8" i="1" s="1"/>
  <c r="B8" i="1"/>
  <c r="H20" i="3"/>
  <c r="F8" i="1"/>
  <c r="I20" i="3"/>
  <c r="J20" i="3" s="1"/>
  <c r="H14" i="3"/>
  <c r="M8" i="3"/>
  <c r="N8" i="3" s="1"/>
  <c r="I14" i="3"/>
  <c r="J14" i="3" s="1"/>
  <c r="I21" i="3"/>
  <c r="J21" i="3" s="1"/>
  <c r="O21" i="3" s="1"/>
  <c r="M14" i="3"/>
  <c r="N14" i="3" s="1"/>
  <c r="K21" i="3"/>
  <c r="L21" i="3" s="1"/>
  <c r="P21" i="3" s="1"/>
  <c r="M7" i="4"/>
  <c r="M15" i="4"/>
  <c r="K10" i="3"/>
  <c r="L10" i="3" s="1"/>
  <c r="P10" i="3" s="1"/>
  <c r="H22" i="3"/>
  <c r="N5" i="4"/>
  <c r="M5" i="4"/>
  <c r="N9" i="4"/>
  <c r="M9" i="4"/>
  <c r="N11" i="4"/>
  <c r="M11" i="4"/>
  <c r="P16" i="3"/>
  <c r="O16" i="3"/>
  <c r="M10" i="4"/>
  <c r="N10" i="4"/>
  <c r="N12" i="4"/>
  <c r="M12" i="4"/>
  <c r="N13" i="4"/>
  <c r="M13" i="4"/>
  <c r="N6" i="4"/>
  <c r="M6" i="4"/>
  <c r="O20" i="3"/>
  <c r="N14" i="4"/>
  <c r="M14" i="4"/>
  <c r="E14" i="3"/>
  <c r="F14" i="3" s="1"/>
  <c r="G16" i="3"/>
  <c r="N15" i="4"/>
  <c r="H16" i="3"/>
  <c r="D20" i="3"/>
  <c r="E20" i="3" s="1"/>
  <c r="F20" i="3" s="1"/>
  <c r="S23" i="3"/>
  <c r="M19" i="5"/>
  <c r="C12" i="1"/>
  <c r="D5" i="3"/>
  <c r="E5" i="3" s="1"/>
  <c r="F5" i="3" s="1"/>
  <c r="S8" i="3"/>
  <c r="K14" i="3"/>
  <c r="L14" i="3" s="1"/>
  <c r="G18" i="3"/>
  <c r="N19" i="5"/>
  <c r="H18" i="3"/>
  <c r="D22" i="3"/>
  <c r="D18" i="3"/>
  <c r="E18" i="3" s="1"/>
  <c r="F18" i="3" s="1"/>
  <c r="D7" i="3"/>
  <c r="I18" i="3"/>
  <c r="J18" i="3" s="1"/>
  <c r="G20" i="3"/>
  <c r="E22" i="3"/>
  <c r="F22" i="3" s="1"/>
  <c r="E7" i="3"/>
  <c r="F7" i="3" s="1"/>
  <c r="D24" i="3"/>
  <c r="E24" i="3" s="1"/>
  <c r="F24" i="3" s="1"/>
  <c r="H5" i="3"/>
  <c r="D9" i="3"/>
  <c r="E9" i="3" s="1"/>
  <c r="F9" i="3" s="1"/>
  <c r="K18" i="3"/>
  <c r="L18" i="3" s="1"/>
  <c r="G22" i="3"/>
  <c r="M16" i="4"/>
  <c r="H7" i="3"/>
  <c r="D11" i="3"/>
  <c r="S14" i="3"/>
  <c r="K20" i="3"/>
  <c r="L20" i="3" s="1"/>
  <c r="P20" i="3" s="1"/>
  <c r="I22" i="3"/>
  <c r="J22" i="3" s="1"/>
  <c r="G24" i="3"/>
  <c r="K5" i="3"/>
  <c r="L5" i="3" s="1"/>
  <c r="I7" i="3"/>
  <c r="J7" i="3" s="1"/>
  <c r="G9" i="3"/>
  <c r="E11" i="3"/>
  <c r="F11" i="3" s="1"/>
  <c r="H24" i="3"/>
  <c r="H9" i="3"/>
  <c r="S16" i="3"/>
  <c r="I24" i="3"/>
  <c r="J24" i="3" s="1"/>
  <c r="G26" i="3"/>
  <c r="M8" i="5"/>
  <c r="I9" i="3"/>
  <c r="J9" i="3" s="1"/>
  <c r="G11" i="3"/>
  <c r="H26" i="3"/>
  <c r="G7" i="3"/>
  <c r="D26" i="3"/>
  <c r="E26" i="3" s="1"/>
  <c r="F26" i="3" s="1"/>
  <c r="H11" i="3"/>
  <c r="D15" i="3"/>
  <c r="E15" i="3" s="1"/>
  <c r="F15" i="3" s="1"/>
  <c r="S18" i="3"/>
  <c r="I26" i="3"/>
  <c r="J26" i="3" s="1"/>
  <c r="M11" i="3"/>
  <c r="N11" i="3" s="1"/>
  <c r="P11" i="3" s="1"/>
  <c r="G17" i="3"/>
  <c r="N8" i="4"/>
  <c r="H15" i="3"/>
  <c r="D19" i="3"/>
  <c r="E19" i="3" s="1"/>
  <c r="F19" i="3" s="1"/>
  <c r="D23" i="3"/>
  <c r="D8" i="3"/>
  <c r="S11" i="3"/>
  <c r="K17" i="3"/>
  <c r="L17" i="3" s="1"/>
  <c r="O17" i="3" s="1"/>
  <c r="I19" i="3"/>
  <c r="J19" i="3" s="1"/>
  <c r="G21" i="3"/>
  <c r="E23" i="3"/>
  <c r="F23" i="3" s="1"/>
  <c r="N18" i="4"/>
  <c r="G6" i="3"/>
  <c r="E8" i="3"/>
  <c r="F8" i="3" s="1"/>
  <c r="D25" i="3"/>
  <c r="E25" i="3" s="1"/>
  <c r="F25" i="3" s="1"/>
  <c r="H6" i="3"/>
  <c r="D10" i="3"/>
  <c r="E10" i="3" s="1"/>
  <c r="F10" i="3" s="1"/>
  <c r="O15" i="3"/>
  <c r="M17" i="3"/>
  <c r="N17" i="3" s="1"/>
  <c r="K19" i="3"/>
  <c r="L19" i="3" s="1"/>
  <c r="G23" i="3"/>
  <c r="M17" i="5"/>
  <c r="S20" i="3"/>
  <c r="D21" i="3"/>
  <c r="E21" i="3" s="1"/>
  <c r="F21" i="3" s="1"/>
  <c r="I6" i="3"/>
  <c r="J6" i="3" s="1"/>
  <c r="G8" i="3"/>
  <c r="H23" i="3"/>
  <c r="D17" i="3"/>
  <c r="E17" i="3" s="1"/>
  <c r="F17" i="3" s="1"/>
  <c r="G15" i="3"/>
  <c r="S9" i="3"/>
  <c r="G19" i="3"/>
  <c r="H8" i="3"/>
  <c r="D12" i="3"/>
  <c r="E12" i="3" s="1"/>
  <c r="F12" i="3" s="1"/>
  <c r="I23" i="3"/>
  <c r="J23" i="3" s="1"/>
  <c r="G25" i="3"/>
  <c r="I8" i="3"/>
  <c r="J8" i="3" s="1"/>
  <c r="B46" i="2"/>
  <c r="H17" i="3"/>
  <c r="D6" i="3"/>
  <c r="E6" i="3" s="1"/>
  <c r="F6" i="3" s="1"/>
  <c r="H19" i="3"/>
  <c r="C40" i="2"/>
  <c r="B45" i="2"/>
  <c r="K6" i="3"/>
  <c r="L6" i="3" s="1"/>
  <c r="H25" i="3"/>
  <c r="H10" i="3"/>
  <c r="S17" i="3"/>
  <c r="P12" i="3" l="1"/>
  <c r="K18" i="5" s="1"/>
  <c r="O10" i="3"/>
  <c r="K10" i="5" s="1"/>
  <c r="T22" i="3"/>
  <c r="T10" i="3"/>
  <c r="O25" i="3"/>
  <c r="T6" i="3"/>
  <c r="T19" i="3"/>
  <c r="T25" i="3"/>
  <c r="T9" i="3"/>
  <c r="T5" i="3"/>
  <c r="T26" i="3"/>
  <c r="T15" i="3"/>
  <c r="P13" i="3"/>
  <c r="O5" i="3"/>
  <c r="P17" i="3"/>
  <c r="P14" i="3"/>
  <c r="T11" i="3"/>
  <c r="P18" i="3"/>
  <c r="O18" i="3"/>
  <c r="O14" i="3"/>
  <c r="P26" i="3"/>
  <c r="O26" i="3"/>
  <c r="T23" i="3"/>
  <c r="P9" i="3"/>
  <c r="O9" i="3"/>
  <c r="O6" i="3"/>
  <c r="P6" i="3"/>
  <c r="O11" i="3"/>
  <c r="T21" i="3"/>
  <c r="T17" i="3"/>
  <c r="O24" i="3"/>
  <c r="P24" i="3"/>
  <c r="T8" i="3"/>
  <c r="T12" i="3"/>
  <c r="O23" i="3"/>
  <c r="P23" i="3"/>
  <c r="T20" i="3"/>
  <c r="T7" i="3"/>
  <c r="P19" i="3"/>
  <c r="O19" i="3"/>
  <c r="P8" i="3"/>
  <c r="O8" i="3"/>
  <c r="T13" i="3"/>
  <c r="T16" i="3"/>
  <c r="T18" i="3"/>
  <c r="L5" i="5"/>
  <c r="L11" i="5"/>
  <c r="L10" i="5"/>
  <c r="L9" i="5"/>
  <c r="L16" i="5"/>
  <c r="L15" i="5"/>
  <c r="L14" i="5"/>
  <c r="L13" i="5"/>
  <c r="L6" i="5"/>
  <c r="O7" i="3"/>
  <c r="P7" i="3"/>
  <c r="T24" i="3"/>
  <c r="O22" i="3"/>
  <c r="P22" i="3"/>
  <c r="L18" i="5"/>
  <c r="E13" i="1" s="1"/>
  <c r="K9" i="5" l="1"/>
  <c r="M9" i="5" s="1"/>
  <c r="N13" i="5"/>
  <c r="E7" i="1"/>
  <c r="N10" i="5"/>
  <c r="K13" i="5"/>
  <c r="M13" i="5" s="1"/>
  <c r="N18" i="5"/>
  <c r="H13" i="1" s="1"/>
  <c r="I13" i="1" s="1"/>
  <c r="K14" i="5"/>
  <c r="K15" i="5"/>
  <c r="M15" i="5" s="1"/>
  <c r="N11" i="5"/>
  <c r="H6" i="1" s="1"/>
  <c r="I6" i="1" s="1"/>
  <c r="E6" i="1"/>
  <c r="N7" i="5"/>
  <c r="K16" i="5"/>
  <c r="M16" i="5" s="1"/>
  <c r="K11" i="5"/>
  <c r="M11" i="5" s="1"/>
  <c r="K5" i="5"/>
  <c r="N15" i="5"/>
  <c r="E5" i="1"/>
  <c r="E8" i="1" s="1"/>
  <c r="E12" i="1"/>
  <c r="N16" i="5"/>
  <c r="K12" i="5"/>
  <c r="M12" i="5" s="1"/>
  <c r="D13" i="1"/>
  <c r="M18" i="5"/>
  <c r="G13" i="1" s="1"/>
  <c r="K6" i="5"/>
  <c r="M6" i="5" s="1"/>
  <c r="N12" i="5"/>
  <c r="N6" i="5"/>
  <c r="N14" i="5"/>
  <c r="N5" i="5"/>
  <c r="K7" i="5"/>
  <c r="M7" i="5" s="1"/>
  <c r="M10" i="5"/>
  <c r="N9" i="5"/>
  <c r="D6" i="1" l="1"/>
  <c r="G6" i="1"/>
  <c r="H5" i="1"/>
  <c r="H12" i="1"/>
  <c r="I12" i="1" s="1"/>
  <c r="H7" i="1"/>
  <c r="I7" i="1" s="1"/>
  <c r="M5" i="5"/>
  <c r="D12" i="1"/>
  <c r="D5" i="1"/>
  <c r="D7" i="1"/>
  <c r="M14" i="5"/>
  <c r="G7" i="1" s="1"/>
  <c r="D8" i="1" l="1"/>
  <c r="G12" i="1"/>
  <c r="G5" i="1"/>
  <c r="G8" i="1" s="1"/>
  <c r="H8" i="1"/>
  <c r="I5" i="1"/>
  <c r="I8" i="1" s="1"/>
</calcChain>
</file>

<file path=xl/sharedStrings.xml><?xml version="1.0" encoding="utf-8"?>
<sst xmlns="http://schemas.openxmlformats.org/spreadsheetml/2006/main" count="537" uniqueCount="304">
  <si>
    <t>HSFP 1:50 Test Matrix – Summary</t>
  </si>
  <si>
    <t>Target site: ~200 mi west of Seattle (deep Pacific, NDBC 46005 climate). Draft for TEAMER / HWRL scoping.</t>
  </si>
  <si>
    <t>Phase</t>
  </si>
  <si>
    <t>Configurations</t>
  </si>
  <si>
    <t>Decay runs</t>
  </si>
  <si>
    <t>Regular runs</t>
  </si>
  <si>
    <t>Irregular runs</t>
  </si>
  <si>
    <t>Special runs</t>
  </si>
  <si>
    <t>Total runs</t>
  </si>
  <si>
    <t>Tank hours</t>
  </si>
  <si>
    <t>Tank days</t>
  </si>
  <si>
    <t>Phase 1 – Individual buoys</t>
  </si>
  <si>
    <t>Phase 2 – Buoy clusters</t>
  </si>
  <si>
    <t>Phase 3 – Full platform</t>
  </si>
  <si>
    <t>Total</t>
  </si>
  <si>
    <t>By facility</t>
  </si>
  <si>
    <t>Facility</t>
  </si>
  <si>
    <t>Large Wave Flume (LWF)</t>
  </si>
  <si>
    <t>Directional Wave Basin (DWB)</t>
  </si>
  <si>
    <t>Key points (confirm with HWRL – Pedro Lomonaco):</t>
  </si>
  <si>
    <t>• Site depth (~2,500 m) cannot be reproduced at 1:50. LWF at 2.74 m (137 m FS) makes waves ≤13 s fully deep-water and 14–20 s near-deep (kd ≈ 1.5–2.9); it also keeps the published 1.8 m wave-height capability.</t>
  </si>
  <si>
    <t>• Phase 3 baseline moved to the LWF: slender spars give low solid blockage, and the flume gives the deeper depth. The DWB (68 m FS) is used only for oblique headings and short-crested seas.</t>
  </si>
  <si>
    <t>• Side-wall effects: cross-flume standing modes at ~7.7, 8.9, 10.9 and 15.5 s FS (see Inputs; 7.7 and 10.9 s are the symmetric modes most likely excited). Install a cross-flume wave-gauge pair and keep the model centred.</t>
  </si>
  <si>
    <t>• Moorings: a ~2,500 m-deep site implies taut/synthetic moorings. The model needs a truncated mooring with equivalent horizontal stiffness – document the method.</t>
  </si>
  <si>
    <t>• Extremes from NDBC 46005: 10/25/50/100-yr Hs = 12.4 / 13.6 / 14.3 / 15.0 m; winter mean Hs 3.6–3.8 m, Tp ~12 s; storm Tp 12.5–20 s. Tp for extremes is assumed.</t>
  </si>
  <si>
    <t>• Tow tests: 1–8 kn FS → 0.07–0.58 m/s model. Confirm tow method with HWRL.</t>
  </si>
  <si>
    <t>Sequence per configuration: free decay → regular sweep (s1 first) → irregular operational → extremes/survival.</t>
  </si>
  <si>
    <t>References: ITTC 7.5-02-07-03.1 (floating offshore platform experiments); IEC TS 62600-103 (WEC testing); DNV-RP-C205 (environmental conditions &amp; loads).</t>
  </si>
  <si>
    <t>Sources: teamer-us.org/facility/hinsdale-osu ; engineering.oregonstate.edu/facilities/wave-lab/facilities/directional-wave-basin ; Oregon DLCD (2000) Analyses of Extreme Waves and Water Levels (oregon.gov/lcd/Publications/Analysis_ExtremeWaves_WaterLevels_2000.pdf) ; Ruggiero, Komar &amp; Allen (2010) Coastal Engineering 57, doi:10.1016/j.coastaleng.2009.12.005</t>
  </si>
  <si>
    <t>Legend: blue text on yellow = editable input; black = formula. Edit Inputs, wave sets (Y/N), sea states and configurations; totals update automatically.</t>
  </si>
  <si>
    <t>HSFP 1:50 Test Matrix – Inputs &amp; Assumptions</t>
  </si>
  <si>
    <t>Blue text on yellow = editable input. Black = formula. Confirm facility values with HWRL staff.</t>
  </si>
  <si>
    <t>Parameter</t>
  </si>
  <si>
    <t>Value</t>
  </si>
  <si>
    <t>Unit</t>
  </si>
  <si>
    <t>Source / note</t>
  </si>
  <si>
    <t>Geometric scale factor λ (full / model)</t>
  </si>
  <si>
    <t>–</t>
  </si>
  <si>
    <t>HSFP summary (1/50 scale model)</t>
  </si>
  <si>
    <t>Target site</t>
  </si>
  <si>
    <t>~200 mi W of Seattle</t>
  </si>
  <si>
    <t>User-specified. ≈47.6°N, 127–128°W, Cascadia Basin (seaward of the continental slope)</t>
  </si>
  <si>
    <t>Site water depth, full scale (approx.)</t>
  </si>
  <si>
    <t>m</t>
  </si>
  <si>
    <t>APPROXIMATE – Cascadia Basin abyssal depths ~2,500–2,900 m; verify with NOAA bathymetry. Deep water for all test periods.</t>
  </si>
  <si>
    <t>LWF test water depth (model)</t>
  </si>
  <si>
    <t>Recommended: deepest depth with published high wave capability (1.8 m @ 2.74 m). Site depth cannot be reproduced at 1:50.</t>
  </si>
  <si>
    <t>LWF equivalent full-scale depth</t>
  </si>
  <si>
    <t>Waves ≤ ~13 s are fully deep-water at this depth; 14–20 s are near-deep (kd ≈ 1.5–2.9)</t>
  </si>
  <si>
    <t>DWB water depth (model)</t>
  </si>
  <si>
    <t>OSU DWB page: max water depth 1.36 m</t>
  </si>
  <si>
    <t>DWB equivalent full-scale depth</t>
  </si>
  <si>
    <t>Long-period waves are intermediate-depth here – use DWB only for heading / short-crested tests</t>
  </si>
  <si>
    <t>LWF max regular wave height (model)</t>
  </si>
  <si>
    <t>TEAMER: 1.8 m at 2.74 m depth. Long-period stroke limit may be lower – confirm with HWRL</t>
  </si>
  <si>
    <t>DWB max regular wave height (model)</t>
  </si>
  <si>
    <t>TEAMER/OSU: ~0.8 m at 1.37 m depth</t>
  </si>
  <si>
    <t>Regular wave steepness level 1 (H/L) – linear</t>
  </si>
  <si>
    <t>Linear RAO level</t>
  </si>
  <si>
    <t>Regular wave steepness level 2 (H/L)</t>
  </si>
  <si>
    <t>Moderate – linearity check</t>
  </si>
  <si>
    <t>Regular wave steepness level 3 (H/L) – steep</t>
  </si>
  <si>
    <t>Nonlinear / steep</t>
  </si>
  <si>
    <t>Regular waves recorded per run</t>
  </si>
  <si>
    <t>waves</t>
  </si>
  <si>
    <t>Assumed; steady-state window before reflections</t>
  </si>
  <si>
    <t>Ramp-up / reflection-free overhead per run</t>
  </si>
  <si>
    <t>s</t>
  </si>
  <si>
    <t>Assumed</t>
  </si>
  <si>
    <t>Wait between runs – LWF</t>
  </si>
  <si>
    <t>min</t>
  </si>
  <si>
    <t>ASSUMPTION – confirm with HWRL</t>
  </si>
  <si>
    <t>Wait between runs – DWB</t>
  </si>
  <si>
    <t>ASSUMPTION – basin settles slower; confirm with HWRL</t>
  </si>
  <si>
    <t>Irregular sea-state duration, full scale</t>
  </si>
  <si>
    <t>hr</t>
  </si>
  <si>
    <t>≥3 hr full scale per ITTC/DNV practice</t>
  </si>
  <si>
    <t>Free-decay run length</t>
  </si>
  <si>
    <t>Free-decay repeats per DOF</t>
  </si>
  <si>
    <t>Special test run length (tow, transition, focused wave)</t>
  </si>
  <si>
    <t>Effective tank hours per day</t>
  </si>
  <si>
    <t>Assumed (excludes setup, calibration, configuration changes)</t>
  </si>
  <si>
    <t>Gravity g</t>
  </si>
  <si>
    <t>m/s²</t>
  </si>
  <si>
    <t>Platform footprint, model</t>
  </si>
  <si>
    <t>HSFP summary (~2.4 m square; slender spars, low solid blockage)</t>
  </si>
  <si>
    <t>Platform footprint, full scale</t>
  </si>
  <si>
    <t>Minimum comfortable wavemaker period (model)</t>
  </si>
  <si>
    <t>ASSUMPTION – flags periods below this for HWRL review</t>
  </si>
  <si>
    <t>Time scale factor √λ</t>
  </si>
  <si>
    <t>Froude: T_model = T_full / √λ</t>
  </si>
  <si>
    <t>Force scale factor (λ³ × ρ_sea/ρ_fresh)</t>
  </si>
  <si>
    <t>Model tested in fresh water</t>
  </si>
  <si>
    <t>LWF width</t>
  </si>
  <si>
    <t>TEAMER: LWF 104 m × 3.7 m × 4.6 m</t>
  </si>
  <si>
    <t>Cross-mode flag window (± full-scale period)</t>
  </si>
  <si>
    <t>Regular periods within this window of a flume cross-mode are flagged</t>
  </si>
  <si>
    <t>LWF transverse (cross-flume) standing-wave modes at LWF test depth</t>
  </si>
  <si>
    <t>Mode n  (wavelength = 2·width / n)</t>
  </si>
  <si>
    <t>T model (s)</t>
  </si>
  <si>
    <t>T full (s)</t>
  </si>
  <si>
    <t>Excitation for a centred model in head seas</t>
  </si>
  <si>
    <t>Antisymmetric – weakly excited if model is centred and aligned</t>
  </si>
  <si>
    <t>Symmetric – can be excited by scattered/radiated waves; place cross-flume gauges</t>
  </si>
  <si>
    <t>Tow-speed conversion (horizontal transport tests)</t>
  </si>
  <si>
    <t>Full-scale tow speed (knots)</t>
  </si>
  <si>
    <t>Model speed (m/s)</t>
  </si>
  <si>
    <t>Regular Wave Set (RAO sweep)</t>
  </si>
  <si>
    <t>Heights set by steepness × deep-water wavelength (site is deep). Mark Y/N for Full and Reduced sets. Fill natural-period rows after free-decay tests.</t>
  </si>
  <si>
    <t>L0 deep (m, FS)</t>
  </si>
  <si>
    <t>L at LWF depth (m, FS)</t>
  </si>
  <si>
    <t>k·d at LWF depth</t>
  </si>
  <si>
    <t>Depth regime in LWF</t>
  </si>
  <si>
    <t>L at DWB depth (m, FS)</t>
  </si>
  <si>
    <t>L0 / footprint</t>
  </si>
  <si>
    <t>H s1 FS (m)</t>
  </si>
  <si>
    <t>H s1 model (m)</t>
  </si>
  <si>
    <t>H s2 FS (m)</t>
  </si>
  <si>
    <t>H s2 model (m)</t>
  </si>
  <si>
    <t>H s3 FS (m)</t>
  </si>
  <si>
    <t>H s3 model (m)</t>
  </si>
  <si>
    <t>Levels feasible LWF</t>
  </si>
  <si>
    <t>Levels feasible DWB</t>
  </si>
  <si>
    <t>Full set (Y/N)</t>
  </si>
  <si>
    <t>Reduced set (Y/N)</t>
  </si>
  <si>
    <t>Run time (min, model)</t>
  </si>
  <si>
    <t>Flags / notes</t>
  </si>
  <si>
    <t>Y</t>
  </si>
  <si>
    <t>N</t>
  </si>
  <si>
    <t>Wavelengths use Fenton's explicit dispersion approximation (±~1%). 'Levels feasible' counts steepness levels within the facility wave-height limit on Inputs. Depth regime: Deep if kd ≥ π.</t>
  </si>
  <si>
    <t>Irregular Sea States (JONSWAP) – Site: ~200 mi west of Seattle</t>
  </si>
  <si>
    <t>Based on NDBC 46005 (West Washington, deep water) statistics. Refine with a site hindcast (e.g., WW3/WIS) Hs–Tp scatter and environmental contour.</t>
  </si>
  <si>
    <t>ID</t>
  </si>
  <si>
    <t>Category</t>
  </si>
  <si>
    <t>Hs FS (m)</t>
  </si>
  <si>
    <t>Tp FS (s)</t>
  </si>
  <si>
    <t>γ (peak)</t>
  </si>
  <si>
    <t>Spreading</t>
  </si>
  <si>
    <t>Seeds</t>
  </si>
  <si>
    <t>Hs model (m)</t>
  </si>
  <si>
    <t>Tp model (s)</t>
  </si>
  <si>
    <t>Est. Hmax model (m)</t>
  </si>
  <si>
    <t>OK in LWF (1/0)</t>
  </si>
  <si>
    <t>OK in DWB (1/0)</t>
  </si>
  <si>
    <t>Hs / Lp (deep)</t>
  </si>
  <si>
    <t>Basis / purpose</t>
  </si>
  <si>
    <t>O1</t>
  </si>
  <si>
    <t>Summer calm</t>
  </si>
  <si>
    <t>Long-crested</t>
  </si>
  <si>
    <t>Summer monthly means at 46005 ~1.5–2 m – access/maintenance window</t>
  </si>
  <si>
    <t>O2</t>
  </si>
  <si>
    <t>Summer typical</t>
  </si>
  <si>
    <t>Typical summer operations</t>
  </si>
  <si>
    <t>O3</t>
  </si>
  <si>
    <t>Annual mean</t>
  </si>
  <si>
    <t>Approximate annual mean Hs offshore WA</t>
  </si>
  <si>
    <t>E1</t>
  </si>
  <si>
    <t>Winter mean / energy design</t>
  </si>
  <si>
    <t>Winter monthly mean Hs 3.6–3.8 m, Tp ~12 s (Allen &amp; Komar / DLCD 2000) – WEC design sea</t>
  </si>
  <si>
    <t>SW1</t>
  </si>
  <si>
    <t>Long swell</t>
  </si>
  <si>
    <t>Distant-storm swell; near long spar natural periods?</t>
  </si>
  <si>
    <t>SW2</t>
  </si>
  <si>
    <t>Very long swell</t>
  </si>
  <si>
    <t>Upper period bound of matrix</t>
  </si>
  <si>
    <t>D1</t>
  </si>
  <si>
    <t>Winter storm (ops limit)</t>
  </si>
  <si>
    <t>Frequent winter storm – likely operational limit / transfer ops</t>
  </si>
  <si>
    <t>X1</t>
  </si>
  <si>
    <t>~Annual max storm</t>
  </si>
  <si>
    <t>Typical yearly maximum at 46005 (≈9–11 m) – ASSUMED, verify</t>
  </si>
  <si>
    <t>X10</t>
  </si>
  <si>
    <t>10-yr extreme</t>
  </si>
  <si>
    <t>46005 10-yr Hs 12.4 m (DLCD 2000, Table 1); Tp assumed</t>
  </si>
  <si>
    <t>X50</t>
  </si>
  <si>
    <t>50-yr extreme</t>
  </si>
  <si>
    <t>46005 50-yr Hs 14.3 m (DLCD 2000); Tp assumed</t>
  </si>
  <si>
    <t>X100</t>
  </si>
  <si>
    <t>100-yr extreme</t>
  </si>
  <si>
    <t>46005 100-yr Hs 15.0 m (DLCD 2000); Tp assumed (storms 12.5–20 s)</t>
  </si>
  <si>
    <t>X100L</t>
  </si>
  <si>
    <t>100-yr, long Tp</t>
  </si>
  <si>
    <t>Tp sensitivity – longer-period extreme</t>
  </si>
  <si>
    <t>SC1</t>
  </si>
  <si>
    <t>Short-crested winter</t>
  </si>
  <si>
    <t>cos-2s, s=15</t>
  </si>
  <si>
    <t>DWB only – directional averaging (run via config P3-F)</t>
  </si>
  <si>
    <t>SC2</t>
  </si>
  <si>
    <t>Short-crested extreme</t>
  </si>
  <si>
    <t>DWB only – directional extreme (run via config P3-F)</t>
  </si>
  <si>
    <t>Hmax ≈ 1.86·Hs (Rayleigh, ~1000 waves). Hs/Lp above ~1/15 is unrealistically steep.</t>
  </si>
  <si>
    <t>Wave climate is trending upward in the PNW (~0.015 m/yr mean; ~0.071 m/yr for the largest storms, Ruggiero et al. 2010) – consider a margin on the 100-yr Hs for design life.</t>
  </si>
  <si>
    <t>NDBC 46005 is several hundred km offshore; conditions ~200 mi W of Seattle are similar but a site-specific hindcast should replace these values before final design.</t>
  </si>
  <si>
    <t>Test Configurations by Phase</t>
  </si>
  <si>
    <t>Each row = one model configuration. Full matrix on baselines; reduced sets on variants. Run counts and tank time are computed.</t>
  </si>
  <si>
    <t>Config ID</t>
  </si>
  <si>
    <t>Description</t>
  </si>
  <si>
    <t>Facility (LWF/DWB)</t>
  </si>
  <si>
    <t>Wave headings</t>
  </si>
  <si>
    <t>Regular set</t>
  </si>
  <si>
    <t>Irregular set</t>
  </si>
  <si>
    <t>Decay DOFs</t>
  </si>
  <si>
    <t>Notes</t>
  </si>
  <si>
    <t>P1-A</t>
  </si>
  <si>
    <t>Single spar, vertical, baseline (no fins)</t>
  </si>
  <si>
    <t>LWF</t>
  </si>
  <si>
    <t>Full</t>
  </si>
  <si>
    <t>Heave, pitch, surge decay</t>
  </si>
  <si>
    <t>P1-B</t>
  </si>
  <si>
    <t>Single spar, vertical, damping fins</t>
  </si>
  <si>
    <t>Reduced</t>
  </si>
  <si>
    <t>Fin effectiveness vs P1-A</t>
  </si>
  <si>
    <t>P1-C</t>
  </si>
  <si>
    <t>Single spar, horizontal (transport)</t>
  </si>
  <si>
    <t>None</t>
  </si>
  <si>
    <t>Special: tow at 4 speeds × 3 repeats (see Inputs tow table)</t>
  </si>
  <si>
    <t>P1-D</t>
  </si>
  <si>
    <t>Single spar, ballast transition H→V</t>
  </si>
  <si>
    <t>Special: transition in calm + O1 + O2, 3 repeats each</t>
  </si>
  <si>
    <t>P1-E</t>
  </si>
  <si>
    <t>Single spar + simulated WEC PTO</t>
  </si>
  <si>
    <t>Repeat with 2–3 PTO damping settings if time allows</t>
  </si>
  <si>
    <t>P2-A</t>
  </si>
  <si>
    <t>4-spar cluster, vertical, baseline</t>
  </si>
  <si>
    <t>Collective behaviour; ball-joint loads</t>
  </si>
  <si>
    <t>P2-B</t>
  </si>
  <si>
    <t>4-spar cluster, damping fins</t>
  </si>
  <si>
    <t>P2-C</t>
  </si>
  <si>
    <t>4-spar cluster, horizontal / transition</t>
  </si>
  <si>
    <t>Special: tow + transition runs</t>
  </si>
  <si>
    <t>P2-D</t>
  </si>
  <si>
    <t>Cluster at 45° to waves</t>
  </si>
  <si>
    <t>Heading sensitivity in flume</t>
  </si>
  <si>
    <t>P3-A</t>
  </si>
  <si>
    <t>Full 4-cluster platform, baseline, head seas</t>
  </si>
  <si>
    <t>Near-deep depth; slender spars → low blockage. Cross-flume gauge pair; watch periods flagged on Regular_Waves</t>
  </si>
  <si>
    <t>P3-B</t>
  </si>
  <si>
    <t>Full platform + simulated WEC PTOs</t>
  </si>
  <si>
    <t>P3-C</t>
  </si>
  <si>
    <t>Full platform, alternate damping / ballast</t>
  </si>
  <si>
    <t>P3-D</t>
  </si>
  <si>
    <t>Full platform, survival focused waves</t>
  </si>
  <si>
    <t>Special: focused/breaking wave groups for peak joint loads, slamming</t>
  </si>
  <si>
    <t>P3-E</t>
  </si>
  <si>
    <t>Full platform, oblique headings (0°, 22.5°, 45°)</t>
  </si>
  <si>
    <t>DWB</t>
  </si>
  <si>
    <t>0° repeats P3-A at truncated depth → quantifies depth effect; 45° diagonal (~3.4 m) too wide for flume</t>
  </si>
  <si>
    <t>P3-F</t>
  </si>
  <si>
    <t>Full platform, short-crested seas</t>
  </si>
  <si>
    <t>Special: SC1 + SC2 (seeds) × 2 headings</t>
  </si>
  <si>
    <t>FloatSim pre-test predictions - flume mooring study (HSP repo, studies/flume-mooring)</t>
  </si>
  <si>
    <t>Pre-test predictions, to be replaced by the measured free decays. Model scale in fresh water; full scale = model x √λ (Inputs!B4). FloatSim LEVEL1, linear hydrodynamics, Morison drag. The flume BEM's 12-sided waterline makes periods long; converged values per DESIGN-BASIS C8. Pitch inputs (CoG, inertia) are unmeasured: ±3 % (DESIGN-BASIS Phase I).</t>
  </si>
  <si>
    <t>1. Natural periods (heave, tilt/pitch)</t>
  </si>
  <si>
    <t>Article</t>
  </si>
  <si>
    <t>Mode</t>
  </si>
  <si>
    <t>Mooring</t>
  </si>
  <si>
    <t>Flume BEM T (model s)</t>
  </si>
  <si>
    <t>Converged T (model s)</t>
  </si>
  <si>
    <t>Converged T (full scale s)</t>
  </si>
  <si>
    <t>ζ (FloatSim, H = 0.04 m)</t>
  </si>
  <si>
    <t>Half-power band (model s)</t>
  </si>
  <si>
    <t>Basis</t>
  </si>
  <si>
    <t>Single buoy</t>
  </si>
  <si>
    <t>heave</t>
  </si>
  <si>
    <t>free</t>
  </si>
  <si>
    <t>converged value computed (DESIGN-BASIS C8)</t>
  </si>
  <si>
    <t>moored, operational cords</t>
  </si>
  <si>
    <t>converged value estimated: the C8 mesh shift of this article's earlier moored design</t>
  </si>
  <si>
    <t>pitch</t>
  </si>
  <si>
    <t>Cluster (4 buoys)</t>
  </si>
  <si>
    <t>moored, extreme cords</t>
  </si>
  <si>
    <t>tilt</t>
  </si>
  <si>
    <t>4x4 platform</t>
  </si>
  <si>
    <t>ζ and the half-power band: FloatSim regular-wave sweeps at H = 0.04 m model with the earlier (pin-level) mooring (resonance_bandwidth.json). They grow with wave height (cluster tilt ζ 6.4 % at H = 0.12 m).</t>
  </si>
  <si>
    <t>In waves the heave RAO peaks later than the decay period: ~2.65-2.70 s model on the flume BEM (≈ 18.5-19 s FS after the mesh correction).</t>
  </si>
  <si>
    <t>2. Moored slow modes (MOORING-SPEC rev D §5) and the decay record they need</t>
  </si>
  <si>
    <t>Cord set</t>
  </si>
  <si>
    <t>Surge T (model s)</t>
  </si>
  <si>
    <t>Sway T (model s)</t>
  </si>
  <si>
    <t>Yaw T (model s)</t>
  </si>
  <si>
    <t>Surge T (full scale s)</t>
  </si>
  <si>
    <t>Sway T (full scale s)</t>
  </si>
  <si>
    <t>Record for 5 cycles of the slowest soft mode (model min)</t>
  </si>
  <si>
    <t>Note</t>
  </si>
  <si>
    <t>one set</t>
  </si>
  <si>
    <t>yaw is stiff (collar)</t>
  </si>
  <si>
    <t>operational</t>
  </si>
  <si>
    <t>extreme</t>
  </si>
  <si>
    <t>The matrix's free-decay run is 2 min (Inputs!B21). The moored sway and yaw decays need up to ~5 min. The slow modes are also where irregular seas drive slow drift, which FloatSim does not model.</t>
  </si>
  <si>
    <t>3. Recommended fine-step tilt band per configuration (centre = converged moored tilt, ± 0.20 s model, 0.05 s model steps; ≥ 95 % of the peak)</t>
  </si>
  <si>
    <t>Configuration</t>
  </si>
  <si>
    <t>Centre T (model s)</t>
  </si>
  <si>
    <t>Band periods (model s)</t>
  </si>
  <si>
    <t>Band periods (full scale s)</t>
  </si>
  <si>
    <t>Single buoy, operational cords</t>
  </si>
  <si>
    <t>2.46, 2.51, 2.56, 2.61, 2.66, 2.71, 2.76, 2.81, 2.86</t>
  </si>
  <si>
    <t>17.4, 17.8, 18.1, 18.5, 18.8, 19.2, 19.5, 19.9, 20.2</t>
  </si>
  <si>
    <t>Re-centre on the measured free decay. Heights: add constant small levels (0.02 and 0.04 m model) to stay near-linear at resonance.</t>
  </si>
  <si>
    <t>Cluster (4 buoys), operational cords</t>
  </si>
  <si>
    <t>2.57, 2.62, 2.67, 2.72, 2.77, 2.82, 2.87, 2.92, 2.97</t>
  </si>
  <si>
    <t>18.2, 18.5, 18.9, 19.2, 19.6, 20.0, 20.3, 20.7, 21.0</t>
  </si>
  <si>
    <t>4x4 platform, operational cords</t>
  </si>
  <si>
    <t>2.64, 2.69, 2.74, 2.79, 2.84, 2.89, 2.94, 2.99, 3.04</t>
  </si>
  <si>
    <t>18.7, 19.0, 19.4, 19.7, 20.1, 20.4, 20.8, 21.2, 21.5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</si>
</sst>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5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4" fontId="6" fillId="3" borderId="1" xfId="0" applyNumberFormat="1" applyFont="1" applyFill="1" applyBorder="1"/>
    <xf numFmtId="4" fontId="4" fillId="0" borderId="1" xfId="0" applyNumberFormat="1" applyFont="1" applyBorder="1"/>
    <xf numFmtId="165" fontId="6" fillId="3" borderId="1" xfId="0" applyNumberFormat="1" applyFont="1" applyFill="1" applyBorder="1"/>
    <xf numFmtId="0" fontId="3" fillId="2" borderId="1" xfId="0" applyFont="1" applyFill="1" applyBorder="1"/>
    <xf numFmtId="0" fontId="6" fillId="3" borderId="1" xfId="0" applyFont="1" applyFill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4" fontId="6" fillId="3" borderId="1" xfId="0" applyNumberFormat="1" applyFont="1" applyFill="1" applyBorder="1"/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166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/>
  </sheetViews>
  <sheetFormatPr defaultColWidth="8.6328125" defaultRowHeight="14.5" x14ac:dyDescent="0.35"/>
  <cols>
    <col min="1" max="1" width="30" customWidth="1"/>
    <col min="2" max="2" width="14" customWidth="1"/>
    <col min="3" max="4" width="11" customWidth="1"/>
    <col min="5" max="5" width="12" customWidth="1"/>
    <col min="6" max="8" width="11" customWidth="1"/>
    <col min="9" max="9" width="10" customWidth="1"/>
  </cols>
  <sheetData>
    <row r="1" spans="1:9" ht="17.649999999999999" customHeight="1" x14ac:dyDescent="0.4">
      <c r="A1" s="1" t="s">
        <v>0</v>
      </c>
    </row>
    <row r="2" spans="1:9" x14ac:dyDescent="0.35">
      <c r="A2" s="2" t="s">
        <v>1</v>
      </c>
    </row>
    <row r="4" spans="1:9" ht="42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">
        <v>11</v>
      </c>
      <c r="B5" s="5">
        <f>COUNTIF(Configurations!$A$5:$A$19,1)</f>
        <v>5</v>
      </c>
      <c r="C5" s="6">
        <f>SUMIFS(Configurations!$J$5:$J$19,Configurations!$A$5:$A$19,1)</f>
        <v>30</v>
      </c>
      <c r="D5" s="6">
        <f>SUMIFS(Configurations!$K$5:$K$19,Configurations!$A$5:$A$19,1)</f>
        <v>111</v>
      </c>
      <c r="E5" s="6">
        <f>SUMIFS(Configurations!$L$5:$L$19,Configurations!$A$5:$A$19,1)</f>
        <v>30</v>
      </c>
      <c r="F5" s="6">
        <f>SUMIFS(Configurations!$I$5:$I$19,Configurations!$A$5:$A$19,1)</f>
        <v>21</v>
      </c>
      <c r="G5" s="6">
        <f>SUMIFS(Configurations!$M$5:$M$19,Configurations!$A$5:$A$19,1)</f>
        <v>192</v>
      </c>
      <c r="H5" s="7">
        <f>SUMIFS(Configurations!$N$5:$N$19,Configurations!$A$5:$A$19,1)</f>
        <v>38.5552727087208</v>
      </c>
      <c r="I5" s="7">
        <f>H5/Inputs!$B$24</f>
        <v>6.4258787847868</v>
      </c>
    </row>
    <row r="6" spans="1:9" x14ac:dyDescent="0.35">
      <c r="A6" s="4" t="s">
        <v>12</v>
      </c>
      <c r="B6" s="5">
        <f>COUNTIF(Configurations!$A$5:$A$19,2)</f>
        <v>4</v>
      </c>
      <c r="C6" s="6">
        <f>SUMIFS(Configurations!$J$5:$J$19,Configurations!$A$5:$A$19,2)</f>
        <v>27</v>
      </c>
      <c r="D6" s="6">
        <f>SUMIFS(Configurations!$K$5:$K$19,Configurations!$A$5:$A$19,2)</f>
        <v>111</v>
      </c>
      <c r="E6" s="6">
        <f>SUMIFS(Configurations!$L$5:$L$19,Configurations!$A$5:$A$19,2)</f>
        <v>30</v>
      </c>
      <c r="F6" s="6">
        <f>SUMIFS(Configurations!$I$5:$I$19,Configurations!$A$5:$A$19,2)</f>
        <v>12</v>
      </c>
      <c r="G6" s="6">
        <f>SUMIFS(Configurations!$M$5:$M$19,Configurations!$A$5:$A$19,2)</f>
        <v>180</v>
      </c>
      <c r="H6" s="7">
        <f>SUMIFS(Configurations!$N$5:$N$19,Configurations!$A$5:$A$19,2)</f>
        <v>36.505272708720796</v>
      </c>
      <c r="I6" s="7">
        <f>H6/Inputs!$B$24</f>
        <v>6.0842121181201323</v>
      </c>
    </row>
    <row r="7" spans="1:9" x14ac:dyDescent="0.35">
      <c r="A7" s="4" t="s">
        <v>13</v>
      </c>
      <c r="B7" s="5">
        <f>COUNTIF(Configurations!$A$5:$A$19,3)</f>
        <v>6</v>
      </c>
      <c r="C7" s="6">
        <f>SUMIFS(Configurations!$J$5:$J$19,Configurations!$A$5:$A$19,3)</f>
        <v>27</v>
      </c>
      <c r="D7" s="6">
        <f>SUMIFS(Configurations!$K$5:$K$19,Configurations!$A$5:$A$19,3)</f>
        <v>144</v>
      </c>
      <c r="E7" s="6">
        <f>SUMIFS(Configurations!$L$5:$L$19,Configurations!$A$5:$A$19,3)</f>
        <v>45</v>
      </c>
      <c r="F7" s="6">
        <f>SUMIFS(Configurations!$I$5:$I$19,Configurations!$A$5:$A$19,3)</f>
        <v>14</v>
      </c>
      <c r="G7" s="6">
        <f>SUMIFS(Configurations!$M$5:$M$19,Configurations!$A$5:$A$19,3)</f>
        <v>230</v>
      </c>
      <c r="H7" s="7">
        <f>SUMIFS(Configurations!$N$5:$N$19,Configurations!$A$5:$A$19,3)</f>
        <v>54.060164474778318</v>
      </c>
      <c r="I7" s="7">
        <f>H7/Inputs!$B$24</f>
        <v>9.0100274124630531</v>
      </c>
    </row>
    <row r="8" spans="1:9" x14ac:dyDescent="0.35">
      <c r="A8" s="8" t="s">
        <v>14</v>
      </c>
      <c r="B8" s="9">
        <f t="shared" ref="B8:I8" si="0">SUM(B5:B7)</f>
        <v>15</v>
      </c>
      <c r="C8" s="9">
        <f t="shared" si="0"/>
        <v>84</v>
      </c>
      <c r="D8" s="9">
        <f t="shared" si="0"/>
        <v>366</v>
      </c>
      <c r="E8" s="9">
        <f t="shared" si="0"/>
        <v>105</v>
      </c>
      <c r="F8" s="9">
        <f t="shared" si="0"/>
        <v>47</v>
      </c>
      <c r="G8" s="9">
        <f t="shared" si="0"/>
        <v>602</v>
      </c>
      <c r="H8" s="10">
        <f t="shared" si="0"/>
        <v>129.12070989221991</v>
      </c>
      <c r="I8" s="10">
        <f t="shared" si="0"/>
        <v>21.520118315369984</v>
      </c>
    </row>
    <row r="10" spans="1:9" x14ac:dyDescent="0.35">
      <c r="A10" s="11" t="s">
        <v>15</v>
      </c>
    </row>
    <row r="11" spans="1:9" ht="26.65" customHeight="1" x14ac:dyDescent="0.35">
      <c r="A11" s="12" t="s">
        <v>16</v>
      </c>
      <c r="B11" s="12" t="s">
        <v>3</v>
      </c>
      <c r="C11" s="12" t="s">
        <v>4</v>
      </c>
      <c r="D11" s="12" t="s">
        <v>5</v>
      </c>
      <c r="E11" s="12" t="s">
        <v>6</v>
      </c>
      <c r="F11" s="12" t="s">
        <v>7</v>
      </c>
      <c r="G11" s="12" t="s">
        <v>8</v>
      </c>
      <c r="H11" s="12" t="s">
        <v>9</v>
      </c>
      <c r="I11" s="12" t="s">
        <v>10</v>
      </c>
    </row>
    <row r="12" spans="1:9" x14ac:dyDescent="0.35">
      <c r="A12" s="4" t="s">
        <v>17</v>
      </c>
      <c r="B12" s="5">
        <f>COUNTIF(Configurations!$D$5:$D$19,"LWF")</f>
        <v>13</v>
      </c>
      <c r="C12" s="6">
        <f>SUMIFS(Configurations!$J$5:$J$19,Configurations!$D$5:$D$19,"LWF")</f>
        <v>84</v>
      </c>
      <c r="D12" s="6">
        <f>SUMIFS(Configurations!$K$5:$K$19,Configurations!$D$5:$D$19,"LWF")</f>
        <v>315</v>
      </c>
      <c r="E12" s="6">
        <f>SUMIFS(Configurations!$L$5:$L$19,Configurations!$D$5:$D$19,"LWF")</f>
        <v>90</v>
      </c>
      <c r="F12" s="6">
        <f>SUMIFS(Configurations!$I$5:$I$19,Configurations!$D$5:$D$19,"LWF")</f>
        <v>41</v>
      </c>
      <c r="G12" s="6">
        <f>SUMIFS(Configurations!$M$5:$M$19,Configurations!$D$5:$D$19,"LWF")</f>
        <v>530</v>
      </c>
      <c r="H12" s="7">
        <f>SUMIFS(Configurations!$N$5:$N$19,Configurations!$D$5:$D$19,"LWF")</f>
        <v>108.48499741941377</v>
      </c>
      <c r="I12" s="7">
        <f>H12/Inputs!$B$24</f>
        <v>18.080832903235628</v>
      </c>
    </row>
    <row r="13" spans="1:9" x14ac:dyDescent="0.35">
      <c r="A13" s="4" t="s">
        <v>18</v>
      </c>
      <c r="B13" s="5">
        <f>COUNTIF(Configurations!$D$5:$D$19,"DWB")</f>
        <v>2</v>
      </c>
      <c r="C13" s="6">
        <f>SUMIFS(Configurations!$J$5:$J$19,Configurations!$D$5:$D$19,"DWB")</f>
        <v>0</v>
      </c>
      <c r="D13" s="6">
        <f>SUMIFS(Configurations!$K$5:$K$19,Configurations!$D$5:$D$19,"DWB")</f>
        <v>51</v>
      </c>
      <c r="E13" s="6">
        <f>SUMIFS(Configurations!$L$5:$L$19,Configurations!$D$5:$D$19,"DWB")</f>
        <v>15</v>
      </c>
      <c r="F13" s="6">
        <f>SUMIFS(Configurations!$I$5:$I$19,Configurations!$D$5:$D$19,"DWB")</f>
        <v>6</v>
      </c>
      <c r="G13" s="6">
        <f>SUMIFS(Configurations!$M$5:$M$19,Configurations!$D$5:$D$19,"DWB")</f>
        <v>72</v>
      </c>
      <c r="H13" s="7">
        <f>SUMIFS(Configurations!$N$5:$N$19,Configurations!$D$5:$D$19,"DWB")</f>
        <v>20.635712472806144</v>
      </c>
      <c r="I13" s="7">
        <f>H13/Inputs!$B$24</f>
        <v>3.4392854121343572</v>
      </c>
    </row>
    <row r="15" spans="1:9" x14ac:dyDescent="0.35">
      <c r="A15" s="11" t="s">
        <v>19</v>
      </c>
    </row>
    <row r="16" spans="1:9" x14ac:dyDescent="0.35">
      <c r="A16" s="13" t="s">
        <v>20</v>
      </c>
    </row>
    <row r="17" spans="1:1" x14ac:dyDescent="0.35">
      <c r="A17" s="13" t="s">
        <v>21</v>
      </c>
    </row>
    <row r="18" spans="1:1" x14ac:dyDescent="0.35">
      <c r="A18" s="13" t="s">
        <v>22</v>
      </c>
    </row>
    <row r="19" spans="1:1" x14ac:dyDescent="0.35">
      <c r="A19" s="13" t="s">
        <v>23</v>
      </c>
    </row>
    <row r="20" spans="1:1" x14ac:dyDescent="0.35">
      <c r="A20" s="13" t="s">
        <v>24</v>
      </c>
    </row>
    <row r="21" spans="1:1" x14ac:dyDescent="0.35">
      <c r="A21" s="13" t="s">
        <v>25</v>
      </c>
    </row>
    <row r="22" spans="1:1" x14ac:dyDescent="0.35">
      <c r="A22" s="13" t="s">
        <v>26</v>
      </c>
    </row>
    <row r="23" spans="1:1" x14ac:dyDescent="0.35">
      <c r="A23" s="13" t="s">
        <v>27</v>
      </c>
    </row>
    <row r="24" spans="1:1" x14ac:dyDescent="0.35">
      <c r="A24" s="13" t="s">
        <v>28</v>
      </c>
    </row>
    <row r="26" spans="1:1" x14ac:dyDescent="0.35">
      <c r="A26" s="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customWidth="1"/>
    <col min="2" max="2" width="14" customWidth="1"/>
    <col min="3" max="3" width="10" customWidth="1"/>
    <col min="4" max="4" width="90" customWidth="1"/>
  </cols>
  <sheetData>
    <row r="1" spans="1:4" ht="17.649999999999999" customHeight="1" x14ac:dyDescent="0.4">
      <c r="A1" s="1" t="s">
        <v>30</v>
      </c>
    </row>
    <row r="2" spans="1:4" x14ac:dyDescent="0.35">
      <c r="A2" s="2" t="s">
        <v>31</v>
      </c>
    </row>
    <row r="3" spans="1:4" ht="42" customHeight="1" x14ac:dyDescent="0.35">
      <c r="A3" s="3" t="s">
        <v>32</v>
      </c>
      <c r="B3" s="3" t="s">
        <v>33</v>
      </c>
      <c r="C3" s="3" t="s">
        <v>34</v>
      </c>
      <c r="D3" s="3" t="s">
        <v>35</v>
      </c>
    </row>
    <row r="4" spans="1:4" x14ac:dyDescent="0.35">
      <c r="A4" s="4" t="s">
        <v>36</v>
      </c>
      <c r="B4" s="14">
        <v>50</v>
      </c>
      <c r="C4" s="4" t="s">
        <v>37</v>
      </c>
      <c r="D4" s="4" t="s">
        <v>38</v>
      </c>
    </row>
    <row r="5" spans="1:4" x14ac:dyDescent="0.35">
      <c r="A5" s="4" t="s">
        <v>39</v>
      </c>
      <c r="B5" s="14" t="s">
        <v>40</v>
      </c>
      <c r="C5" s="4" t="s">
        <v>37</v>
      </c>
      <c r="D5" s="4" t="s">
        <v>41</v>
      </c>
    </row>
    <row r="6" spans="1:4" x14ac:dyDescent="0.35">
      <c r="A6" s="4" t="s">
        <v>42</v>
      </c>
      <c r="B6" s="14">
        <v>2500</v>
      </c>
      <c r="C6" s="4" t="s">
        <v>43</v>
      </c>
      <c r="D6" s="4" t="s">
        <v>44</v>
      </c>
    </row>
    <row r="7" spans="1:4" x14ac:dyDescent="0.35">
      <c r="A7" s="4" t="s">
        <v>45</v>
      </c>
      <c r="B7" s="14">
        <v>2.74</v>
      </c>
      <c r="C7" s="4" t="s">
        <v>43</v>
      </c>
      <c r="D7" s="4" t="s">
        <v>46</v>
      </c>
    </row>
    <row r="8" spans="1:4" x14ac:dyDescent="0.35">
      <c r="A8" s="4" t="s">
        <v>47</v>
      </c>
      <c r="B8" s="15">
        <f>B7*B4</f>
        <v>137</v>
      </c>
      <c r="C8" s="4" t="s">
        <v>43</v>
      </c>
      <c r="D8" s="4" t="s">
        <v>48</v>
      </c>
    </row>
    <row r="9" spans="1:4" x14ac:dyDescent="0.35">
      <c r="A9" s="4" t="s">
        <v>49</v>
      </c>
      <c r="B9" s="14">
        <v>1.36</v>
      </c>
      <c r="C9" s="4" t="s">
        <v>43</v>
      </c>
      <c r="D9" s="4" t="s">
        <v>50</v>
      </c>
    </row>
    <row r="10" spans="1:4" x14ac:dyDescent="0.35">
      <c r="A10" s="4" t="s">
        <v>51</v>
      </c>
      <c r="B10" s="15">
        <f>B9*B4</f>
        <v>68</v>
      </c>
      <c r="C10" s="4" t="s">
        <v>43</v>
      </c>
      <c r="D10" s="4" t="s">
        <v>52</v>
      </c>
    </row>
    <row r="11" spans="1:4" x14ac:dyDescent="0.35">
      <c r="A11" s="4" t="s">
        <v>53</v>
      </c>
      <c r="B11" s="14">
        <v>1.8</v>
      </c>
      <c r="C11" s="4" t="s">
        <v>43</v>
      </c>
      <c r="D11" s="4" t="s">
        <v>54</v>
      </c>
    </row>
    <row r="12" spans="1:4" x14ac:dyDescent="0.35">
      <c r="A12" s="4" t="s">
        <v>55</v>
      </c>
      <c r="B12" s="14">
        <v>0.8</v>
      </c>
      <c r="C12" s="4" t="s">
        <v>43</v>
      </c>
      <c r="D12" s="4" t="s">
        <v>56</v>
      </c>
    </row>
    <row r="13" spans="1:4" x14ac:dyDescent="0.35">
      <c r="A13" s="4" t="s">
        <v>57</v>
      </c>
      <c r="B13" s="16">
        <v>1.6666666666666701E-2</v>
      </c>
      <c r="C13" s="4" t="s">
        <v>37</v>
      </c>
      <c r="D13" s="4" t="s">
        <v>58</v>
      </c>
    </row>
    <row r="14" spans="1:4" x14ac:dyDescent="0.35">
      <c r="A14" s="4" t="s">
        <v>59</v>
      </c>
      <c r="B14" s="16">
        <v>3.3333333333333298E-2</v>
      </c>
      <c r="C14" s="4" t="s">
        <v>37</v>
      </c>
      <c r="D14" s="4" t="s">
        <v>60</v>
      </c>
    </row>
    <row r="15" spans="1:4" x14ac:dyDescent="0.35">
      <c r="A15" s="4" t="s">
        <v>61</v>
      </c>
      <c r="B15" s="16">
        <v>6.6666666666666693E-2</v>
      </c>
      <c r="C15" s="4" t="s">
        <v>37</v>
      </c>
      <c r="D15" s="4" t="s">
        <v>62</v>
      </c>
    </row>
    <row r="16" spans="1:4" x14ac:dyDescent="0.35">
      <c r="A16" s="4" t="s">
        <v>63</v>
      </c>
      <c r="B16" s="14">
        <v>30</v>
      </c>
      <c r="C16" s="4" t="s">
        <v>64</v>
      </c>
      <c r="D16" s="4" t="s">
        <v>65</v>
      </c>
    </row>
    <row r="17" spans="1:4" x14ac:dyDescent="0.35">
      <c r="A17" s="4" t="s">
        <v>66</v>
      </c>
      <c r="B17" s="14">
        <v>60</v>
      </c>
      <c r="C17" s="4" t="s">
        <v>67</v>
      </c>
      <c r="D17" s="4" t="s">
        <v>68</v>
      </c>
    </row>
    <row r="18" spans="1:4" x14ac:dyDescent="0.35">
      <c r="A18" s="4" t="s">
        <v>69</v>
      </c>
      <c r="B18" s="14">
        <v>6</v>
      </c>
      <c r="C18" s="4" t="s">
        <v>70</v>
      </c>
      <c r="D18" s="4" t="s">
        <v>71</v>
      </c>
    </row>
    <row r="19" spans="1:4" x14ac:dyDescent="0.35">
      <c r="A19" s="4" t="s">
        <v>72</v>
      </c>
      <c r="B19" s="14">
        <v>10</v>
      </c>
      <c r="C19" s="4" t="s">
        <v>70</v>
      </c>
      <c r="D19" s="4" t="s">
        <v>73</v>
      </c>
    </row>
    <row r="20" spans="1:4" x14ac:dyDescent="0.35">
      <c r="A20" s="4" t="s">
        <v>74</v>
      </c>
      <c r="B20" s="14">
        <v>3</v>
      </c>
      <c r="C20" s="4" t="s">
        <v>75</v>
      </c>
      <c r="D20" s="4" t="s">
        <v>76</v>
      </c>
    </row>
    <row r="21" spans="1:4" x14ac:dyDescent="0.35">
      <c r="A21" s="4" t="s">
        <v>77</v>
      </c>
      <c r="B21" s="14">
        <v>2</v>
      </c>
      <c r="C21" s="4" t="s">
        <v>70</v>
      </c>
      <c r="D21" s="4" t="s">
        <v>68</v>
      </c>
    </row>
    <row r="22" spans="1:4" x14ac:dyDescent="0.35">
      <c r="A22" s="4" t="s">
        <v>78</v>
      </c>
      <c r="B22" s="14">
        <v>3</v>
      </c>
      <c r="C22" s="4" t="s">
        <v>37</v>
      </c>
      <c r="D22" s="4" t="s">
        <v>68</v>
      </c>
    </row>
    <row r="23" spans="1:4" x14ac:dyDescent="0.35">
      <c r="A23" s="4" t="s">
        <v>79</v>
      </c>
      <c r="B23" s="14">
        <v>5</v>
      </c>
      <c r="C23" s="4" t="s">
        <v>70</v>
      </c>
      <c r="D23" s="4" t="s">
        <v>68</v>
      </c>
    </row>
    <row r="24" spans="1:4" x14ac:dyDescent="0.35">
      <c r="A24" s="4" t="s">
        <v>80</v>
      </c>
      <c r="B24" s="14">
        <v>6</v>
      </c>
      <c r="C24" s="4" t="s">
        <v>75</v>
      </c>
      <c r="D24" s="4" t="s">
        <v>81</v>
      </c>
    </row>
    <row r="25" spans="1:4" x14ac:dyDescent="0.35">
      <c r="A25" s="4" t="s">
        <v>82</v>
      </c>
      <c r="B25" s="14">
        <v>9.81</v>
      </c>
      <c r="C25" s="4" t="s">
        <v>83</v>
      </c>
      <c r="D25" s="4"/>
    </row>
    <row r="26" spans="1:4" x14ac:dyDescent="0.35">
      <c r="A26" s="4" t="s">
        <v>84</v>
      </c>
      <c r="B26" s="14">
        <v>2.4</v>
      </c>
      <c r="C26" s="4" t="s">
        <v>43</v>
      </c>
      <c r="D26" s="4" t="s">
        <v>85</v>
      </c>
    </row>
    <row r="27" spans="1:4" x14ac:dyDescent="0.35">
      <c r="A27" s="4" t="s">
        <v>86</v>
      </c>
      <c r="B27" s="15">
        <f>B26*B4</f>
        <v>120</v>
      </c>
      <c r="C27" s="4" t="s">
        <v>43</v>
      </c>
      <c r="D27" s="4"/>
    </row>
    <row r="28" spans="1:4" x14ac:dyDescent="0.35">
      <c r="A28" s="4" t="s">
        <v>87</v>
      </c>
      <c r="B28" s="14">
        <v>0.7</v>
      </c>
      <c r="C28" s="4" t="s">
        <v>67</v>
      </c>
      <c r="D28" s="4" t="s">
        <v>88</v>
      </c>
    </row>
    <row r="29" spans="1:4" x14ac:dyDescent="0.35">
      <c r="A29" s="4" t="s">
        <v>89</v>
      </c>
      <c r="B29" s="15">
        <f>SQRT(B4)</f>
        <v>7.0710678118654755</v>
      </c>
      <c r="C29" s="4" t="s">
        <v>37</v>
      </c>
      <c r="D29" s="4" t="s">
        <v>90</v>
      </c>
    </row>
    <row r="30" spans="1:4" x14ac:dyDescent="0.35">
      <c r="A30" s="4" t="s">
        <v>91</v>
      </c>
      <c r="B30" s="15">
        <f>B4^3*1.025</f>
        <v>128124.99999999999</v>
      </c>
      <c r="C30" s="4" t="s">
        <v>37</v>
      </c>
      <c r="D30" s="4" t="s">
        <v>92</v>
      </c>
    </row>
    <row r="31" spans="1:4" x14ac:dyDescent="0.35">
      <c r="A31" s="4" t="s">
        <v>93</v>
      </c>
      <c r="B31" s="14">
        <v>3.7</v>
      </c>
      <c r="C31" s="4" t="s">
        <v>43</v>
      </c>
      <c r="D31" s="4" t="s">
        <v>94</v>
      </c>
    </row>
    <row r="32" spans="1:4" x14ac:dyDescent="0.35">
      <c r="A32" s="4" t="s">
        <v>95</v>
      </c>
      <c r="B32" s="14">
        <v>0.5</v>
      </c>
      <c r="C32" s="4" t="s">
        <v>67</v>
      </c>
      <c r="D32" s="4" t="s">
        <v>96</v>
      </c>
    </row>
    <row r="35" spans="1:4" x14ac:dyDescent="0.35">
      <c r="A35" s="11" t="s">
        <v>97</v>
      </c>
    </row>
    <row r="36" spans="1:4" x14ac:dyDescent="0.35">
      <c r="A36" s="17" t="s">
        <v>98</v>
      </c>
      <c r="B36" s="17" t="s">
        <v>99</v>
      </c>
      <c r="C36" s="17" t="s">
        <v>100</v>
      </c>
      <c r="D36" s="17" t="s">
        <v>101</v>
      </c>
    </row>
    <row r="37" spans="1:4" x14ac:dyDescent="0.35">
      <c r="A37" s="18">
        <v>1</v>
      </c>
      <c r="B37" s="19">
        <f>2*PI()/SQRT(Inputs!$B$25*(2*PI()/(2*Inputs!$B$31/A37))*TANH((2*PI()/(2*Inputs!$B$31/A37))*Inputs!$B$7))</f>
        <v>2.1979191883033935</v>
      </c>
      <c r="C37" s="7">
        <f>B37*Inputs!$B$29</f>
        <v>15.541635625493619</v>
      </c>
      <c r="D37" s="4" t="s">
        <v>102</v>
      </c>
    </row>
    <row r="38" spans="1:4" x14ac:dyDescent="0.35">
      <c r="A38" s="18">
        <v>2</v>
      </c>
      <c r="B38" s="19">
        <f>2*PI()/SQRT(Inputs!$B$25*(2*PI()/(2*Inputs!$B$31/A38))*TANH((2*PI()/(2*Inputs!$B$31/A38))*Inputs!$B$7))</f>
        <v>1.5395569681725938</v>
      </c>
      <c r="C38" s="7">
        <f>B38*Inputs!$B$29</f>
        <v>10.886311722178428</v>
      </c>
      <c r="D38" s="4" t="s">
        <v>103</v>
      </c>
    </row>
    <row r="39" spans="1:4" x14ac:dyDescent="0.35">
      <c r="A39" s="18">
        <v>3</v>
      </c>
      <c r="B39" s="19">
        <f>2*PI()/SQRT(Inputs!$B$25*(2*PI()/(2*Inputs!$B$31/A39))*TANH((2*PI()/(2*Inputs!$B$31/A39))*Inputs!$B$7))</f>
        <v>1.2569298475682253</v>
      </c>
      <c r="C39" s="7">
        <f>B39*Inputs!$B$29</f>
        <v>8.8878361869126561</v>
      </c>
      <c r="D39" s="4" t="s">
        <v>102</v>
      </c>
    </row>
    <row r="40" spans="1:4" x14ac:dyDescent="0.35">
      <c r="A40" s="18">
        <v>4</v>
      </c>
      <c r="B40" s="19">
        <f>2*PI()/SQRT(Inputs!$B$25*(2*PI()/(2*Inputs!$B$31/A40))*TANH((2*PI()/(2*Inputs!$B$31/A40))*Inputs!$B$7))</f>
        <v>1.0885322446003056</v>
      </c>
      <c r="C40" s="7">
        <f>B40*Inputs!$B$29</f>
        <v>7.6970853169708979</v>
      </c>
      <c r="D40" s="4" t="s">
        <v>103</v>
      </c>
    </row>
    <row r="43" spans="1:4" x14ac:dyDescent="0.35">
      <c r="A43" s="11" t="s">
        <v>104</v>
      </c>
    </row>
    <row r="44" spans="1:4" x14ac:dyDescent="0.35">
      <c r="A44" s="17" t="s">
        <v>105</v>
      </c>
      <c r="B44" s="17" t="s">
        <v>106</v>
      </c>
      <c r="C44" s="17"/>
      <c r="D44" s="17"/>
    </row>
    <row r="45" spans="1:4" x14ac:dyDescent="0.35">
      <c r="A45" s="18">
        <v>1</v>
      </c>
      <c r="B45" s="20">
        <f>A45*0.5144/Inputs!$B$29</f>
        <v>7.2747145648471997E-2</v>
      </c>
    </row>
    <row r="46" spans="1:4" x14ac:dyDescent="0.35">
      <c r="A46" s="18">
        <v>2</v>
      </c>
      <c r="B46" s="20">
        <f>A46*0.5144/Inputs!$B$29</f>
        <v>0.14549429129694399</v>
      </c>
    </row>
    <row r="47" spans="1:4" x14ac:dyDescent="0.35">
      <c r="A47" s="18">
        <v>3</v>
      </c>
      <c r="B47" s="20">
        <f>A47*0.5144/Inputs!$B$29</f>
        <v>0.21824143694541601</v>
      </c>
    </row>
    <row r="48" spans="1:4" x14ac:dyDescent="0.35">
      <c r="A48" s="18">
        <v>4</v>
      </c>
      <c r="B48" s="20">
        <f>A48*0.5144/Inputs!$B$29</f>
        <v>0.29098858259388799</v>
      </c>
    </row>
    <row r="49" spans="1:2" x14ac:dyDescent="0.35">
      <c r="A49" s="18">
        <v>6</v>
      </c>
      <c r="B49" s="20">
        <f>A49*0.5144/Inputs!$B$29</f>
        <v>0.43648287389083201</v>
      </c>
    </row>
    <row r="50" spans="1:2" x14ac:dyDescent="0.35">
      <c r="A50" s="18">
        <v>8</v>
      </c>
      <c r="B50" s="20">
        <f>A50*0.5144/Inputs!$B$29</f>
        <v>0.58197716518777598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2" width="8" customWidth="1"/>
    <col min="3" max="3" width="9" customWidth="1"/>
    <col min="4" max="4" width="10" customWidth="1"/>
    <col min="5" max="5" width="8" customWidth="1"/>
    <col min="6" max="6" width="11" customWidth="1"/>
    <col min="7" max="7" width="10" customWidth="1"/>
    <col min="8" max="14" width="8" customWidth="1"/>
    <col min="15" max="16" width="9" customWidth="1"/>
    <col min="17" max="17" width="8" customWidth="1"/>
    <col min="18" max="19" width="9" customWidth="1"/>
    <col min="20" max="20" width="60" customWidth="1"/>
  </cols>
  <sheetData>
    <row r="1" spans="1:20" ht="17.649999999999999" customHeight="1" x14ac:dyDescent="0.4">
      <c r="A1" s="1" t="s">
        <v>107</v>
      </c>
    </row>
    <row r="2" spans="1:20" x14ac:dyDescent="0.35">
      <c r="A2" s="2" t="s">
        <v>108</v>
      </c>
    </row>
    <row r="4" spans="1:20" ht="42" customHeight="1" x14ac:dyDescent="0.35">
      <c r="A4" s="3" t="s">
        <v>100</v>
      </c>
      <c r="B4" s="3" t="s">
        <v>99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3" t="s">
        <v>118</v>
      </c>
      <c r="M4" s="3" t="s">
        <v>119</v>
      </c>
      <c r="N4" s="3" t="s">
        <v>120</v>
      </c>
      <c r="O4" s="3" t="s">
        <v>121</v>
      </c>
      <c r="P4" s="3" t="s">
        <v>122</v>
      </c>
      <c r="Q4" s="3" t="s">
        <v>123</v>
      </c>
      <c r="R4" s="3" t="s">
        <v>124</v>
      </c>
      <c r="S4" s="3" t="s">
        <v>125</v>
      </c>
      <c r="T4" s="3" t="s">
        <v>126</v>
      </c>
    </row>
    <row r="5" spans="1:20" x14ac:dyDescent="0.35">
      <c r="A5" s="21">
        <v>4</v>
      </c>
      <c r="B5" s="20">
        <f>IF(A5="","",A5/SQRT(Inputs!$B$4))</f>
        <v>0.56568542494923801</v>
      </c>
      <c r="C5" s="7">
        <f>IF(A5="","",Inputs!$B$25*A5^2/(2*PI()))</f>
        <v>24.980959867703895</v>
      </c>
      <c r="D5" s="7">
        <f>IF(A5="","",C5*TANH((2*PI()*Inputs!$B$8/C5)^0.75)^(2/3))</f>
        <v>24.980959867689126</v>
      </c>
      <c r="E5" s="19">
        <f>IF(A5="","",2*PI()*Inputs!$B$8/D5)</f>
        <v>34.458098953874654</v>
      </c>
      <c r="F5" s="4" t="str">
        <f t="shared" ref="F5:F26" si="0">IF(A5="","",IF(E5&gt;=PI(),"Deep",IF(E5&gt;=PI()/10,"Near-deep / intermediate","Shallow")))</f>
        <v>Deep</v>
      </c>
      <c r="G5" s="7">
        <f>IF(A5="","",C5*TANH((2*PI()*Inputs!$B$10/C5)^0.75)^(2/3))</f>
        <v>24.980958217705961</v>
      </c>
      <c r="H5" s="19">
        <f>IF(A5="","",C5/Inputs!$B$27)</f>
        <v>0.20817466556419911</v>
      </c>
      <c r="I5" s="19">
        <f>IF(A5="","",C5*Inputs!$B$13)</f>
        <v>0.41634933112839911</v>
      </c>
      <c r="J5" s="20">
        <f>IF(A5="","",I5/Inputs!$B$4)</f>
        <v>8.326986622567983E-3</v>
      </c>
      <c r="K5" s="19">
        <f>IF(A5="","",C5*Inputs!$B$14)</f>
        <v>0.83269866225679556</v>
      </c>
      <c r="L5" s="20">
        <f>IF(A5="","",K5/Inputs!$B$4)</f>
        <v>1.6653973245135911E-2</v>
      </c>
      <c r="M5" s="19">
        <f>IF(A5="","",C5*Inputs!$B$15)</f>
        <v>1.6653973245135936</v>
      </c>
      <c r="N5" s="20">
        <f>IF(A5="","",M5/Inputs!$B$4)</f>
        <v>3.330794649027187E-2</v>
      </c>
      <c r="O5" s="5">
        <f>IF(A5="",0,(J5&lt;=Inputs!$B$11)+(L5&lt;=Inputs!$B$11)+(N5&lt;=Inputs!$B$11))</f>
        <v>3</v>
      </c>
      <c r="P5" s="5">
        <f>IF(A5="",0,(J5&lt;=Inputs!$B$12)+(L5&lt;=Inputs!$B$12)+(N5&lt;=Inputs!$B$12))</f>
        <v>3</v>
      </c>
      <c r="Q5" s="18" t="s">
        <v>127</v>
      </c>
      <c r="R5" s="18" t="s">
        <v>128</v>
      </c>
      <c r="S5" s="7">
        <f>IF(A5="",0,(Inputs!$B$17+Inputs!$B$16*B5)/60)</f>
        <v>1.2828427124746189</v>
      </c>
      <c r="T5" s="4" t="str">
        <f>IF(A5="","Short-period limit – check wavemaker quality",IF(B5&lt;Inputs!$B$28,"Below min comfortable wavemaker period. ","")&amp;IF(OR(ABS(A5-Inputs!$C$38)&lt;=Inputs!$B$32,ABS(A5-Inputs!$C$40)&lt;=Inputs!$B$32),"Near symmetric flume cross-mode – check cross-flume gauges. ","")&amp;IF(OR(ABS(A5-Inputs!$C$37)&lt;=Inputs!$B$32,ABS(A5-Inputs!$C$39)&lt;=Inputs!$B$32),"Near antisymmetric cross-mode – verify model centred. ","")&amp;"Short-period limit – check wavemaker quality")</f>
        <v>Below min comfortable wavemaker period. Short-period limit – check wavemaker quality</v>
      </c>
    </row>
    <row r="6" spans="1:20" x14ac:dyDescent="0.35">
      <c r="A6" s="21">
        <v>5</v>
      </c>
      <c r="B6" s="20">
        <f>IF(A6="","",A6/SQRT(Inputs!$B$4))</f>
        <v>0.70710678118654746</v>
      </c>
      <c r="C6" s="7">
        <f>IF(A6="","",Inputs!$B$25*A6^2/(2*PI()))</f>
        <v>39.03274979328733</v>
      </c>
      <c r="D6" s="7">
        <f>IF(A6="","",C6*TANH((2*PI()*Inputs!$B$8/C6)^0.75)^(2/3))</f>
        <v>39.032749717939637</v>
      </c>
      <c r="E6" s="19">
        <f>IF(A6="","",2*PI()*Inputs!$B$8/D6)</f>
        <v>22.053183373037569</v>
      </c>
      <c r="F6" s="4" t="str">
        <f t="shared" si="0"/>
        <v>Deep</v>
      </c>
      <c r="G6" s="7">
        <f>IF(A6="","",C6*TANH((2*PI()*Inputs!$B$10/C6)^0.75)^(2/3))</f>
        <v>39.032441270282852</v>
      </c>
      <c r="H6" s="19">
        <f>IF(A6="","",C6/Inputs!$B$27)</f>
        <v>0.32527291494406108</v>
      </c>
      <c r="I6" s="19">
        <f>IF(A6="","",C6*Inputs!$B$13)</f>
        <v>0.65054582988812348</v>
      </c>
      <c r="J6" s="20">
        <f>IF(A6="","",I6/Inputs!$B$4)</f>
        <v>1.3010916597762469E-2</v>
      </c>
      <c r="K6" s="19">
        <f>IF(A6="","",C6*Inputs!$B$14)</f>
        <v>1.301091659776243</v>
      </c>
      <c r="L6" s="20">
        <f>IF(A6="","",K6/Inputs!$B$4)</f>
        <v>2.6021833195524858E-2</v>
      </c>
      <c r="M6" s="19">
        <f>IF(A6="","",C6*Inputs!$B$15)</f>
        <v>2.6021833195524895</v>
      </c>
      <c r="N6" s="20">
        <f>IF(A6="","",M6/Inputs!$B$4)</f>
        <v>5.2043666391049792E-2</v>
      </c>
      <c r="O6" s="5">
        <f>IF(A6="",0,(J6&lt;=Inputs!$B$11)+(L6&lt;=Inputs!$B$11)+(N6&lt;=Inputs!$B$11))</f>
        <v>3</v>
      </c>
      <c r="P6" s="5">
        <f>IF(A6="",0,(J6&lt;=Inputs!$B$12)+(L6&lt;=Inputs!$B$12)+(N6&lt;=Inputs!$B$12))</f>
        <v>3</v>
      </c>
      <c r="Q6" s="18" t="s">
        <v>127</v>
      </c>
      <c r="R6" s="18" t="s">
        <v>127</v>
      </c>
      <c r="S6" s="7">
        <f>IF(A6="",0,(Inputs!$B$17+Inputs!$B$16*B6)/60)</f>
        <v>1.3535533905932737</v>
      </c>
      <c r="T6" s="4" t="str">
        <f>IF(A6="","Summer wind sea",IF(B6&lt;Inputs!$B$28,"Below min comfortable wavemaker period. ","")&amp;IF(OR(ABS(A6-Inputs!$C$38)&lt;=Inputs!$B$32,ABS(A6-Inputs!$C$40)&lt;=Inputs!$B$32),"Near symmetric flume cross-mode – check cross-flume gauges. ","")&amp;IF(OR(ABS(A6-Inputs!$C$37)&lt;=Inputs!$B$32,ABS(A6-Inputs!$C$39)&lt;=Inputs!$B$32),"Near antisymmetric cross-mode – verify model centred. ","")&amp;"Summer wind sea")</f>
        <v>Summer wind sea</v>
      </c>
    </row>
    <row r="7" spans="1:20" x14ac:dyDescent="0.35">
      <c r="A7" s="21">
        <v>6</v>
      </c>
      <c r="B7" s="20">
        <f>IF(A7="","",A7/SQRT(Inputs!$B$4))</f>
        <v>0.84852813742385702</v>
      </c>
      <c r="C7" s="7">
        <f>IF(A7="","",Inputs!$B$25*A7^2/(2*PI()))</f>
        <v>56.207159702333762</v>
      </c>
      <c r="D7" s="7">
        <f>IF(A7="","",C7*TANH((2*PI()*Inputs!$B$8/C7)^0.75)^(2/3))</f>
        <v>56.207145562361795</v>
      </c>
      <c r="E7" s="19">
        <f>IF(A7="","",2*PI()*Inputs!$B$8/D7)</f>
        <v>15.314714498862966</v>
      </c>
      <c r="F7" s="4" t="str">
        <f t="shared" si="0"/>
        <v>Deep</v>
      </c>
      <c r="G7" s="7">
        <f>IF(A7="","",C7*TANH((2*PI()*Inputs!$B$10/C7)^0.75)^(2/3))</f>
        <v>56.199246971745673</v>
      </c>
      <c r="H7" s="19">
        <f>IF(A7="","",C7/Inputs!$B$27)</f>
        <v>0.46839299751944802</v>
      </c>
      <c r="I7" s="19">
        <f>IF(A7="","",C7*Inputs!$B$13)</f>
        <v>0.93678599503889792</v>
      </c>
      <c r="J7" s="20">
        <f>IF(A7="","",I7/Inputs!$B$4)</f>
        <v>1.8735719900777957E-2</v>
      </c>
      <c r="K7" s="19">
        <f>IF(A7="","",C7*Inputs!$B$14)</f>
        <v>1.8735719900777901</v>
      </c>
      <c r="L7" s="20">
        <f>IF(A7="","",K7/Inputs!$B$4)</f>
        <v>3.7471439801555803E-2</v>
      </c>
      <c r="M7" s="19">
        <f>IF(A7="","",C7*Inputs!$B$15)</f>
        <v>3.7471439801555855</v>
      </c>
      <c r="N7" s="20">
        <f>IF(A7="","",M7/Inputs!$B$4)</f>
        <v>7.4942879603111703E-2</v>
      </c>
      <c r="O7" s="5">
        <f>IF(A7="",0,(J7&lt;=Inputs!$B$11)+(L7&lt;=Inputs!$B$11)+(N7&lt;=Inputs!$B$11))</f>
        <v>3</v>
      </c>
      <c r="P7" s="5">
        <f>IF(A7="",0,(J7&lt;=Inputs!$B$12)+(L7&lt;=Inputs!$B$12)+(N7&lt;=Inputs!$B$12))</f>
        <v>3</v>
      </c>
      <c r="Q7" s="18" t="s">
        <v>127</v>
      </c>
      <c r="R7" s="18" t="s">
        <v>128</v>
      </c>
      <c r="S7" s="7">
        <f>IF(A7="",0,(Inputs!$B$17+Inputs!$B$16*B7)/60)</f>
        <v>1.4242640687119286</v>
      </c>
      <c r="T7" s="4" t="str">
        <f>IF(A7="","",IF(B7&lt;Inputs!$B$28,"Below min comfortable wavemaker period. ","")&amp;IF(OR(ABS(A7-Inputs!$C$38)&lt;=Inputs!$B$32,ABS(A7-Inputs!$C$40)&lt;=Inputs!$B$32),"Near symmetric flume cross-mode – check cross-flume gauges. ","")&amp;IF(OR(ABS(A7-Inputs!$C$37)&lt;=Inputs!$B$32,ABS(A7-Inputs!$C$39)&lt;=Inputs!$B$32),"Near antisymmetric cross-mode – verify model centred. ","")&amp;"")</f>
        <v/>
      </c>
    </row>
    <row r="8" spans="1:20" x14ac:dyDescent="0.35">
      <c r="A8" s="21">
        <v>7</v>
      </c>
      <c r="B8" s="20">
        <f>IF(A8="","",A8/SQRT(Inputs!$B$4))</f>
        <v>0.98994949366116647</v>
      </c>
      <c r="C8" s="7">
        <f>IF(A8="","",Inputs!$B$25*A8^2/(2*PI()))</f>
        <v>76.504189594843169</v>
      </c>
      <c r="D8" s="7">
        <f>IF(A8="","",C8*TANH((2*PI()*Inputs!$B$8/C8)^0.75)^(2/3))</f>
        <v>76.50371915835278</v>
      </c>
      <c r="E8" s="19">
        <f>IF(A8="","",2*PI()*Inputs!$B$8/D8)</f>
        <v>11.251693336658136</v>
      </c>
      <c r="F8" s="4" t="str">
        <f t="shared" si="0"/>
        <v>Deep</v>
      </c>
      <c r="G8" s="7">
        <f>IF(A8="","",C8*TANH((2*PI()*Inputs!$B$10/C8)^0.75)^(2/3))</f>
        <v>76.432915713623217</v>
      </c>
      <c r="H8" s="19">
        <f>IF(A8="","",C8/Inputs!$B$27)</f>
        <v>0.63753491329035972</v>
      </c>
      <c r="I8" s="19">
        <f>IF(A8="","",C8*Inputs!$B$13)</f>
        <v>1.2750698265807221</v>
      </c>
      <c r="J8" s="20">
        <f>IF(A8="","",I8/Inputs!$B$4)</f>
        <v>2.5501396531614443E-2</v>
      </c>
      <c r="K8" s="19">
        <f>IF(A8="","",C8*Inputs!$B$14)</f>
        <v>2.5501396531614362</v>
      </c>
      <c r="L8" s="20">
        <f>IF(A8="","",K8/Inputs!$B$4)</f>
        <v>5.1002793063228725E-2</v>
      </c>
      <c r="M8" s="19">
        <f>IF(A8="","",C8*Inputs!$B$15)</f>
        <v>5.1002793063228804</v>
      </c>
      <c r="N8" s="20">
        <f>IF(A8="","",M8/Inputs!$B$4)</f>
        <v>0.1020055861264576</v>
      </c>
      <c r="O8" s="5">
        <f>IF(A8="",0,(J8&lt;=Inputs!$B$11)+(L8&lt;=Inputs!$B$11)+(N8&lt;=Inputs!$B$11))</f>
        <v>3</v>
      </c>
      <c r="P8" s="5">
        <f>IF(A8="",0,(J8&lt;=Inputs!$B$12)+(L8&lt;=Inputs!$B$12)+(N8&lt;=Inputs!$B$12))</f>
        <v>3</v>
      </c>
      <c r="Q8" s="18" t="s">
        <v>127</v>
      </c>
      <c r="R8" s="18" t="s">
        <v>128</v>
      </c>
      <c r="S8" s="7">
        <f>IF(A8="",0,(Inputs!$B$17+Inputs!$B$16*B8)/60)</f>
        <v>1.4949747468305832</v>
      </c>
      <c r="T8" s="4" t="str">
        <f>IF(A8="","",IF(B8&lt;Inputs!$B$28,"Below min comfortable wavemaker period. ","")&amp;IF(OR(ABS(A8-Inputs!$C$38)&lt;=Inputs!$B$32,ABS(A8-Inputs!$C$40)&lt;=Inputs!$B$32),"Near symmetric flume cross-mode – check cross-flume gauges. ","")&amp;IF(OR(ABS(A8-Inputs!$C$37)&lt;=Inputs!$B$32,ABS(A8-Inputs!$C$39)&lt;=Inputs!$B$32),"Near antisymmetric cross-mode – verify model centred. ","")&amp;"")</f>
        <v/>
      </c>
    </row>
    <row r="9" spans="1:20" x14ac:dyDescent="0.35">
      <c r="A9" s="21">
        <v>8</v>
      </c>
      <c r="B9" s="20">
        <f>IF(A9="","",A9/SQRT(Inputs!$B$4))</f>
        <v>1.131370849898476</v>
      </c>
      <c r="C9" s="7">
        <f>IF(A9="","",Inputs!$B$25*A9^2/(2*PI()))</f>
        <v>99.923839470815579</v>
      </c>
      <c r="D9" s="7">
        <f>IF(A9="","",C9*TANH((2*PI()*Inputs!$B$8/C9)^0.75)^(2/3))</f>
        <v>99.918124075152917</v>
      </c>
      <c r="E9" s="19">
        <f>IF(A9="","",2*PI()*Inputs!$B$8/D9)</f>
        <v>8.6150174960866917</v>
      </c>
      <c r="F9" s="4" t="str">
        <f t="shared" si="0"/>
        <v>Deep</v>
      </c>
      <c r="G9" s="7">
        <f>IF(A9="","",C9*TANH((2*PI()*Inputs!$B$10/C9)^0.75)^(2/3))</f>
        <v>99.576205678338553</v>
      </c>
      <c r="H9" s="19">
        <f>IF(A9="","",C9/Inputs!$B$27)</f>
        <v>0.83269866225679645</v>
      </c>
      <c r="I9" s="19">
        <f>IF(A9="","",C9*Inputs!$B$13)</f>
        <v>1.6653973245135965</v>
      </c>
      <c r="J9" s="20">
        <f>IF(A9="","",I9/Inputs!$B$4)</f>
        <v>3.3307946490271932E-2</v>
      </c>
      <c r="K9" s="19">
        <f>IF(A9="","",C9*Inputs!$B$14)</f>
        <v>3.3307946490271823</v>
      </c>
      <c r="L9" s="20">
        <f>IF(A9="","",K9/Inputs!$B$4)</f>
        <v>6.6615892980543642E-2</v>
      </c>
      <c r="M9" s="19">
        <f>IF(A9="","",C9*Inputs!$B$15)</f>
        <v>6.6615892980543743</v>
      </c>
      <c r="N9" s="20">
        <f>IF(A9="","",M9/Inputs!$B$4)</f>
        <v>0.13323178596108748</v>
      </c>
      <c r="O9" s="5">
        <f>IF(A9="",0,(J9&lt;=Inputs!$B$11)+(L9&lt;=Inputs!$B$11)+(N9&lt;=Inputs!$B$11))</f>
        <v>3</v>
      </c>
      <c r="P9" s="5">
        <f>IF(A9="",0,(J9&lt;=Inputs!$B$12)+(L9&lt;=Inputs!$B$12)+(N9&lt;=Inputs!$B$12))</f>
        <v>3</v>
      </c>
      <c r="Q9" s="18" t="s">
        <v>127</v>
      </c>
      <c r="R9" s="18" t="s">
        <v>127</v>
      </c>
      <c r="S9" s="7">
        <f>IF(A9="",0,(Inputs!$B$17+Inputs!$B$16*B9)/60)</f>
        <v>1.5656854249492378</v>
      </c>
      <c r="T9" s="4" t="str">
        <f>IF(A9="","",IF(B9&lt;Inputs!$B$28,"Below min comfortable wavemaker period. ","")&amp;IF(OR(ABS(A9-Inputs!$C$38)&lt;=Inputs!$B$32,ABS(A9-Inputs!$C$40)&lt;=Inputs!$B$32),"Near symmetric flume cross-mode – check cross-flume gauges. ","")&amp;IF(OR(ABS(A9-Inputs!$C$37)&lt;=Inputs!$B$32,ABS(A9-Inputs!$C$39)&lt;=Inputs!$B$32),"Near antisymmetric cross-mode – verify model centred. ","")&amp;"")</f>
        <v xml:space="preserve">Near symmetric flume cross-mode – check cross-flume gauges. </v>
      </c>
    </row>
    <row r="10" spans="1:20" x14ac:dyDescent="0.35">
      <c r="A10" s="21">
        <v>8.5</v>
      </c>
      <c r="B10" s="20">
        <f>IF(A10="","",A10/SQRT(Inputs!$B$4))</f>
        <v>1.2020815280171306</v>
      </c>
      <c r="C10" s="7">
        <f>IF(A10="","",Inputs!$B$25*A10^2/(2*PI()))</f>
        <v>112.8046469026004</v>
      </c>
      <c r="D10" s="7">
        <f>IF(A10="","",C10*TANH((2*PI()*Inputs!$B$8/C10)^0.75)^(2/3))</f>
        <v>112.78918244285386</v>
      </c>
      <c r="E10" s="19">
        <f>IF(A10="","",2*PI()*Inputs!$B$8/D10)</f>
        <v>7.6319055466133667</v>
      </c>
      <c r="F10" s="4" t="str">
        <f t="shared" si="0"/>
        <v>Deep</v>
      </c>
      <c r="G10" s="7">
        <f>IF(A10="","",C10*TANH((2*PI()*Inputs!$B$10/C10)^0.75)^(2/3))</f>
        <v>112.14733291378582</v>
      </c>
      <c r="H10" s="19">
        <f>IF(A10="","",C10/Inputs!$B$27)</f>
        <v>0.94003872418833667</v>
      </c>
      <c r="I10" s="19">
        <f>IF(A10="","",C10*Inputs!$B$13)</f>
        <v>1.8800774483766771</v>
      </c>
      <c r="J10" s="20">
        <f>IF(A10="","",I10/Inputs!$B$4)</f>
        <v>3.7601548967533545E-2</v>
      </c>
      <c r="K10" s="19">
        <f>IF(A10="","",C10*Inputs!$B$14)</f>
        <v>3.7601548967533427</v>
      </c>
      <c r="L10" s="20">
        <f>IF(A10="","",K10/Inputs!$B$4)</f>
        <v>7.5203097935066854E-2</v>
      </c>
      <c r="M10" s="19">
        <f>IF(A10="","",C10*Inputs!$B$15)</f>
        <v>7.520309793506696</v>
      </c>
      <c r="N10" s="20">
        <f>IF(A10="","",M10/Inputs!$B$4)</f>
        <v>0.15040619587013393</v>
      </c>
      <c r="O10" s="5">
        <f>IF(A10="",0,(J10&lt;=Inputs!$B$11)+(L10&lt;=Inputs!$B$11)+(N10&lt;=Inputs!$B$11))</f>
        <v>3</v>
      </c>
      <c r="P10" s="5">
        <f>IF(A10="",0,(J10&lt;=Inputs!$B$12)+(L10&lt;=Inputs!$B$12)+(N10&lt;=Inputs!$B$12))</f>
        <v>3</v>
      </c>
      <c r="Q10" s="18" t="s">
        <v>127</v>
      </c>
      <c r="R10" s="18" t="s">
        <v>128</v>
      </c>
      <c r="S10" s="7">
        <f>IF(A10="",0,(Inputs!$B$17+Inputs!$B$16*B10)/60)</f>
        <v>1.6010407640085653</v>
      </c>
      <c r="T10" s="4" t="str">
        <f>IF(A10="","Wavelength ≈ footprint band",IF(B10&lt;Inputs!$B$28,"Below min comfortable wavemaker period. ","")&amp;IF(OR(ABS(A10-Inputs!$C$38)&lt;=Inputs!$B$32,ABS(A10-Inputs!$C$40)&lt;=Inputs!$B$32),"Near symmetric flume cross-mode – check cross-flume gauges. ","")&amp;IF(OR(ABS(A10-Inputs!$C$37)&lt;=Inputs!$B$32,ABS(A10-Inputs!$C$39)&lt;=Inputs!$B$32),"Near antisymmetric cross-mode – verify model centred. ","")&amp;"Wavelength ≈ footprint band")</f>
        <v>Near antisymmetric cross-mode – verify model centred. Wavelength ≈ footprint band</v>
      </c>
    </row>
    <row r="11" spans="1:20" x14ac:dyDescent="0.35">
      <c r="A11" s="21">
        <v>9</v>
      </c>
      <c r="B11" s="20">
        <f>IF(A11="","",A11/SQRT(Inputs!$B$4))</f>
        <v>1.2727922061357855</v>
      </c>
      <c r="C11" s="7">
        <f>IF(A11="","",Inputs!$B$25*A11^2/(2*PI()))</f>
        <v>126.46610933025096</v>
      </c>
      <c r="D11" s="7">
        <f>IF(A11="","",C11*TANH((2*PI()*Inputs!$B$8/C11)^0.75)^(2/3))</f>
        <v>126.42924433261541</v>
      </c>
      <c r="E11" s="19">
        <f>IF(A11="","",2*PI()*Inputs!$B$8/D11)</f>
        <v>6.8085227561669495</v>
      </c>
      <c r="F11" s="4" t="str">
        <f t="shared" si="0"/>
        <v>Deep</v>
      </c>
      <c r="G11" s="7">
        <f>IF(A11="","",C11*TANH((2*PI()*Inputs!$B$10/C11)^0.75)^(2/3))</f>
        <v>125.3166991301098</v>
      </c>
      <c r="H11" s="19">
        <f>IF(A11="","",C11/Inputs!$B$27)</f>
        <v>1.0538842444187579</v>
      </c>
      <c r="I11" s="19">
        <f>IF(A11="","",C11*Inputs!$B$13)</f>
        <v>2.1077684888375203</v>
      </c>
      <c r="J11" s="20">
        <f>IF(A11="","",I11/Inputs!$B$4)</f>
        <v>4.2155369776750405E-2</v>
      </c>
      <c r="K11" s="19">
        <f>IF(A11="","",C11*Inputs!$B$14)</f>
        <v>4.2155369776750273</v>
      </c>
      <c r="L11" s="20">
        <f>IF(A11="","",K11/Inputs!$B$4)</f>
        <v>8.4310739553500547E-2</v>
      </c>
      <c r="M11" s="19">
        <f>IF(A11="","",C11*Inputs!$B$15)</f>
        <v>8.4310739553500671</v>
      </c>
      <c r="N11" s="20">
        <f>IF(A11="","",M11/Inputs!$B$4)</f>
        <v>0.16862147910700134</v>
      </c>
      <c r="O11" s="5">
        <f>IF(A11="",0,(J11&lt;=Inputs!$B$11)+(L11&lt;=Inputs!$B$11)+(N11&lt;=Inputs!$B$11))</f>
        <v>3</v>
      </c>
      <c r="P11" s="5">
        <f>IF(A11="",0,(J11&lt;=Inputs!$B$12)+(L11&lt;=Inputs!$B$12)+(N11&lt;=Inputs!$B$12))</f>
        <v>3</v>
      </c>
      <c r="Q11" s="18" t="s">
        <v>127</v>
      </c>
      <c r="R11" s="18" t="s">
        <v>128</v>
      </c>
      <c r="S11" s="7">
        <f>IF(A11="",0,(Inputs!$B$17+Inputs!$B$16*B11)/60)</f>
        <v>1.6363961030678926</v>
      </c>
      <c r="T11" s="4" t="str">
        <f>IF(A11="","Wavelength ≈ footprint band",IF(B11&lt;Inputs!$B$28,"Below min comfortable wavemaker period. ","")&amp;IF(OR(ABS(A11-Inputs!$C$38)&lt;=Inputs!$B$32,ABS(A11-Inputs!$C$40)&lt;=Inputs!$B$32),"Near symmetric flume cross-mode – check cross-flume gauges. ","")&amp;IF(OR(ABS(A11-Inputs!$C$37)&lt;=Inputs!$B$32,ABS(A11-Inputs!$C$39)&lt;=Inputs!$B$32),"Near antisymmetric cross-mode – verify model centred. ","")&amp;"Wavelength ≈ footprint band")</f>
        <v>Near antisymmetric cross-mode – verify model centred. Wavelength ≈ footprint band</v>
      </c>
    </row>
    <row r="12" spans="1:20" x14ac:dyDescent="0.35">
      <c r="A12" s="21">
        <v>9.5</v>
      </c>
      <c r="B12" s="20">
        <f>IF(A12="","",A12/SQRT(Inputs!$B$4))</f>
        <v>1.3435028842544403</v>
      </c>
      <c r="C12" s="7">
        <f>IF(A12="","",Inputs!$B$25*A12^2/(2*PI()))</f>
        <v>140.90822675376728</v>
      </c>
      <c r="D12" s="7">
        <f>IF(A12="","",C12*TANH((2*PI()*Inputs!$B$8/C12)^0.75)^(2/3))</f>
        <v>140.82904093562044</v>
      </c>
      <c r="E12" s="19">
        <f>IF(A12="","",2*PI()*Inputs!$B$8/D12)</f>
        <v>6.112349990916389</v>
      </c>
      <c r="F12" s="4" t="str">
        <f t="shared" si="0"/>
        <v>Deep</v>
      </c>
      <c r="G12" s="7">
        <f>IF(A12="","",C12*TANH((2*PI()*Inputs!$B$10/C12)^0.75)^(2/3))</f>
        <v>139.0240719398189</v>
      </c>
      <c r="H12" s="19">
        <f>IF(A12="","",C12/Inputs!$B$27)</f>
        <v>1.1742352229480606</v>
      </c>
      <c r="I12" s="19">
        <f>IF(A12="","",C12*Inputs!$B$13)</f>
        <v>2.3484704458961261</v>
      </c>
      <c r="J12" s="20">
        <f>IF(A12="","",I12/Inputs!$B$4)</f>
        <v>4.696940891792252E-2</v>
      </c>
      <c r="K12" s="19">
        <f>IF(A12="","",C12*Inputs!$B$14)</f>
        <v>4.6969408917922379</v>
      </c>
      <c r="L12" s="20">
        <f>IF(A12="","",K12/Inputs!$B$4)</f>
        <v>9.3938817835844762E-2</v>
      </c>
      <c r="M12" s="19">
        <f>IF(A12="","",C12*Inputs!$B$15)</f>
        <v>9.3938817835844883</v>
      </c>
      <c r="N12" s="20">
        <f>IF(A12="","",M12/Inputs!$B$4)</f>
        <v>0.18787763567168977</v>
      </c>
      <c r="O12" s="5">
        <f>IF(A12="",0,(J12&lt;=Inputs!$B$11)+(L12&lt;=Inputs!$B$11)+(N12&lt;=Inputs!$B$11))</f>
        <v>3</v>
      </c>
      <c r="P12" s="5">
        <f>IF(A12="",0,(J12&lt;=Inputs!$B$12)+(L12&lt;=Inputs!$B$12)+(N12&lt;=Inputs!$B$12))</f>
        <v>3</v>
      </c>
      <c r="Q12" s="18" t="s">
        <v>127</v>
      </c>
      <c r="R12" s="18" t="s">
        <v>128</v>
      </c>
      <c r="S12" s="7">
        <f>IF(A12="",0,(Inputs!$B$17+Inputs!$B$16*B12)/60)</f>
        <v>1.6717514421272202</v>
      </c>
      <c r="T12" s="4" t="str">
        <f>IF(A12="","Wavelength ≈ footprint band",IF(B12&lt;Inputs!$B$28,"Below min comfortable wavemaker period. ","")&amp;IF(OR(ABS(A12-Inputs!$C$38)&lt;=Inputs!$B$32,ABS(A12-Inputs!$C$40)&lt;=Inputs!$B$32),"Near symmetric flume cross-mode – check cross-flume gauges. ","")&amp;IF(OR(ABS(A12-Inputs!$C$37)&lt;=Inputs!$B$32,ABS(A12-Inputs!$C$39)&lt;=Inputs!$B$32),"Near antisymmetric cross-mode – verify model centred. ","")&amp;"Wavelength ≈ footprint band")</f>
        <v>Wavelength ≈ footprint band</v>
      </c>
    </row>
    <row r="13" spans="1:20" x14ac:dyDescent="0.35">
      <c r="A13" s="21">
        <v>10</v>
      </c>
      <c r="B13" s="20">
        <f>IF(A13="","",A13/SQRT(Inputs!$B$4))</f>
        <v>1.4142135623730949</v>
      </c>
      <c r="C13" s="7">
        <f>IF(A13="","",Inputs!$B$25*A13^2/(2*PI()))</f>
        <v>156.13099917314932</v>
      </c>
      <c r="D13" s="7">
        <f>IF(A13="","",C13*TANH((2*PI()*Inputs!$B$8/C13)^0.75)^(2/3))</f>
        <v>155.975026979066</v>
      </c>
      <c r="E13" s="19">
        <f>IF(A13="","",2*PI()*Inputs!$B$8/D13)</f>
        <v>5.5188090283140907</v>
      </c>
      <c r="F13" s="4" t="str">
        <f t="shared" si="0"/>
        <v>Deep</v>
      </c>
      <c r="G13" s="7">
        <f>IF(A13="","",C13*TANH((2*PI()*Inputs!$B$10/C13)^0.75)^(2/3))</f>
        <v>153.20480089324997</v>
      </c>
      <c r="H13" s="19">
        <f>IF(A13="","",C13/Inputs!$B$27)</f>
        <v>1.3010916597762443</v>
      </c>
      <c r="I13" s="19">
        <f>IF(A13="","",C13*Inputs!$B$13)</f>
        <v>2.6021833195524939</v>
      </c>
      <c r="J13" s="20">
        <f>IF(A13="","",I13/Inputs!$B$4)</f>
        <v>5.2043666391049875E-2</v>
      </c>
      <c r="K13" s="19">
        <f>IF(A13="","",C13*Inputs!$B$14)</f>
        <v>5.2043666391049719</v>
      </c>
      <c r="L13" s="20">
        <f>IF(A13="","",K13/Inputs!$B$4)</f>
        <v>0.10408733278209943</v>
      </c>
      <c r="M13" s="19">
        <f>IF(A13="","",C13*Inputs!$B$15)</f>
        <v>10.408733278209958</v>
      </c>
      <c r="N13" s="20">
        <f>IF(A13="","",M13/Inputs!$B$4)</f>
        <v>0.20817466556419917</v>
      </c>
      <c r="O13" s="5">
        <f>IF(A13="",0,(J13&lt;=Inputs!$B$11)+(L13&lt;=Inputs!$B$11)+(N13&lt;=Inputs!$B$11))</f>
        <v>3</v>
      </c>
      <c r="P13" s="5">
        <f>IF(A13="",0,(J13&lt;=Inputs!$B$12)+(L13&lt;=Inputs!$B$12)+(N13&lt;=Inputs!$B$12))</f>
        <v>3</v>
      </c>
      <c r="Q13" s="18" t="s">
        <v>127</v>
      </c>
      <c r="R13" s="18" t="s">
        <v>127</v>
      </c>
      <c r="S13" s="7">
        <f>IF(A13="",0,(Inputs!$B$17+Inputs!$B$16*B13)/60)</f>
        <v>1.7071067811865475</v>
      </c>
      <c r="T13" s="4" t="str">
        <f>IF(A13="","",IF(B13&lt;Inputs!$B$28,"Below min comfortable wavemaker period. ","")&amp;IF(OR(ABS(A13-Inputs!$C$38)&lt;=Inputs!$B$32,ABS(A13-Inputs!$C$40)&lt;=Inputs!$B$32),"Near symmetric flume cross-mode – check cross-flume gauges. ","")&amp;IF(OR(ABS(A13-Inputs!$C$37)&lt;=Inputs!$B$32,ABS(A13-Inputs!$C$39)&lt;=Inputs!$B$32),"Near antisymmetric cross-mode – verify model centred. ","")&amp;"")</f>
        <v/>
      </c>
    </row>
    <row r="14" spans="1:20" x14ac:dyDescent="0.35">
      <c r="A14" s="21">
        <v>11</v>
      </c>
      <c r="B14" s="20">
        <f>IF(A14="","",A14/SQRT(Inputs!$B$4))</f>
        <v>1.5556349186104046</v>
      </c>
      <c r="C14" s="7">
        <f>IF(A14="","",Inputs!$B$25*A14^2/(2*PI()))</f>
        <v>188.91850899951069</v>
      </c>
      <c r="D14" s="7">
        <f>IF(A14="","",C14*TANH((2*PI()*Inputs!$B$8/C14)^0.75)^(2/3))</f>
        <v>188.42668989369699</v>
      </c>
      <c r="E14" s="19">
        <f>IF(A14="","",2*PI()*Inputs!$B$8/D14)</f>
        <v>4.5683357679808054</v>
      </c>
      <c r="F14" s="4" t="str">
        <f t="shared" si="0"/>
        <v>Deep</v>
      </c>
      <c r="G14" s="7">
        <f>IF(A14="","",C14*TANH((2*PI()*Inputs!$B$10/C14)^0.75)^(2/3))</f>
        <v>182.72097052624935</v>
      </c>
      <c r="H14" s="19">
        <f>IF(A14="","",C14/Inputs!$B$27)</f>
        <v>1.5743209083292558</v>
      </c>
      <c r="I14" s="19">
        <f>IF(A14="","",C14*Inputs!$B$13)</f>
        <v>3.1486418166585182</v>
      </c>
      <c r="J14" s="20">
        <f>IF(A14="","",I14/Inputs!$B$4)</f>
        <v>6.2972836333170357E-2</v>
      </c>
      <c r="K14" s="19">
        <f>IF(A14="","",C14*Inputs!$B$14)</f>
        <v>6.2972836333170168</v>
      </c>
      <c r="L14" s="20">
        <f>IF(A14="","",K14/Inputs!$B$4)</f>
        <v>0.12594567266634032</v>
      </c>
      <c r="M14" s="19">
        <f>IF(A14="","",C14*Inputs!$B$15)</f>
        <v>12.594567266634051</v>
      </c>
      <c r="N14" s="20">
        <f>IF(A14="","",M14/Inputs!$B$4)</f>
        <v>0.25189134533268104</v>
      </c>
      <c r="O14" s="5">
        <f>IF(A14="",0,(J14&lt;=Inputs!$B$11)+(L14&lt;=Inputs!$B$11)+(N14&lt;=Inputs!$B$11))</f>
        <v>3</v>
      </c>
      <c r="P14" s="5">
        <f>IF(A14="",0,(J14&lt;=Inputs!$B$12)+(L14&lt;=Inputs!$B$12)+(N14&lt;=Inputs!$B$12))</f>
        <v>3</v>
      </c>
      <c r="Q14" s="18" t="s">
        <v>127</v>
      </c>
      <c r="R14" s="18" t="s">
        <v>128</v>
      </c>
      <c r="S14" s="7">
        <f>IF(A14="",0,(Inputs!$B$17+Inputs!$B$16*B14)/60)</f>
        <v>1.7778174593052023</v>
      </c>
      <c r="T14" s="4" t="str">
        <f>IF(A14="","",IF(B14&lt;Inputs!$B$28,"Below min comfortable wavemaker period. ","")&amp;IF(OR(ABS(A14-Inputs!$C$38)&lt;=Inputs!$B$32,ABS(A14-Inputs!$C$40)&lt;=Inputs!$B$32),"Near symmetric flume cross-mode – check cross-flume gauges. ","")&amp;IF(OR(ABS(A14-Inputs!$C$37)&lt;=Inputs!$B$32,ABS(A14-Inputs!$C$39)&lt;=Inputs!$B$32),"Near antisymmetric cross-mode – verify model centred. ","")&amp;"")</f>
        <v xml:space="preserve">Near symmetric flume cross-mode – check cross-flume gauges. </v>
      </c>
    </row>
    <row r="15" spans="1:20" x14ac:dyDescent="0.35">
      <c r="A15" s="21">
        <v>12</v>
      </c>
      <c r="B15" s="20">
        <f>IF(A15="","",A15/SQRT(Inputs!$B$4))</f>
        <v>1.697056274847714</v>
      </c>
      <c r="C15" s="7">
        <f>IF(A15="","",Inputs!$B$25*A15^2/(2*PI()))</f>
        <v>224.82863880933505</v>
      </c>
      <c r="D15" s="7">
        <f>IF(A15="","",C15*TANH((2*PI()*Inputs!$B$8/C15)^0.75)^(2/3))</f>
        <v>223.57495902245731</v>
      </c>
      <c r="E15" s="19">
        <f>IF(A15="","",2*PI()*Inputs!$B$8/D15)</f>
        <v>3.8501466839009435</v>
      </c>
      <c r="F15" s="4" t="str">
        <f t="shared" si="0"/>
        <v>Deep</v>
      </c>
      <c r="G15" s="7">
        <f>IF(A15="","",C15*TANH((2*PI()*Inputs!$B$10/C15)^0.75)^(2/3))</f>
        <v>213.3517157576274</v>
      </c>
      <c r="H15" s="19">
        <f>IF(A15="","",C15/Inputs!$B$27)</f>
        <v>1.8735719900777921</v>
      </c>
      <c r="I15" s="19">
        <f>IF(A15="","",C15*Inputs!$B$13)</f>
        <v>3.7471439801555917</v>
      </c>
      <c r="J15" s="20">
        <f>IF(A15="","",I15/Inputs!$B$4)</f>
        <v>7.4942879603111828E-2</v>
      </c>
      <c r="K15" s="19">
        <f>IF(A15="","",C15*Inputs!$B$14)</f>
        <v>7.4942879603111603</v>
      </c>
      <c r="L15" s="20">
        <f>IF(A15="","",K15/Inputs!$B$4)</f>
        <v>0.14988575920622321</v>
      </c>
      <c r="M15" s="19">
        <f>IF(A15="","",C15*Inputs!$B$15)</f>
        <v>14.988575920622342</v>
      </c>
      <c r="N15" s="20">
        <f>IF(A15="","",M15/Inputs!$B$4)</f>
        <v>0.29977151841244681</v>
      </c>
      <c r="O15" s="5">
        <f>IF(A15="",0,(J15&lt;=Inputs!$B$11)+(L15&lt;=Inputs!$B$11)+(N15&lt;=Inputs!$B$11))</f>
        <v>3</v>
      </c>
      <c r="P15" s="5">
        <f>IF(A15="",0,(J15&lt;=Inputs!$B$12)+(L15&lt;=Inputs!$B$12)+(N15&lt;=Inputs!$B$12))</f>
        <v>3</v>
      </c>
      <c r="Q15" s="18" t="s">
        <v>127</v>
      </c>
      <c r="R15" s="18" t="s">
        <v>127</v>
      </c>
      <c r="S15" s="7">
        <f>IF(A15="",0,(Inputs!$B$17+Inputs!$B$16*B15)/60)</f>
        <v>1.8485281374238569</v>
      </c>
      <c r="T15" s="4" t="str">
        <f>IF(A15="","Winter mean peak period (~12 s)",IF(B15&lt;Inputs!$B$28,"Below min comfortable wavemaker period. ","")&amp;IF(OR(ABS(A15-Inputs!$C$38)&lt;=Inputs!$B$32,ABS(A15-Inputs!$C$40)&lt;=Inputs!$B$32),"Near symmetric flume cross-mode – check cross-flume gauges. ","")&amp;IF(OR(ABS(A15-Inputs!$C$37)&lt;=Inputs!$B$32,ABS(A15-Inputs!$C$39)&lt;=Inputs!$B$32),"Near antisymmetric cross-mode – verify model centred. ","")&amp;"Winter mean peak period (~12 s)")</f>
        <v>Winter mean peak period (~12 s)</v>
      </c>
    </row>
    <row r="16" spans="1:20" x14ac:dyDescent="0.35">
      <c r="A16" s="21">
        <v>13</v>
      </c>
      <c r="B16" s="20">
        <f>IF(A16="","",A16/SQRT(Inputs!$B$4))</f>
        <v>1.8384776310850235</v>
      </c>
      <c r="C16" s="7">
        <f>IF(A16="","",Inputs!$B$25*A16^2/(2*PI()))</f>
        <v>263.86138860262241</v>
      </c>
      <c r="D16" s="7">
        <f>IF(A16="","",C16*TANH((2*PI()*Inputs!$B$8/C16)^0.75)^(2/3))</f>
        <v>261.13463054687628</v>
      </c>
      <c r="E16" s="19">
        <f>IF(A16="","",2*PI()*Inputs!$B$8/D16)</f>
        <v>3.2963700956893258</v>
      </c>
      <c r="F16" s="4" t="str">
        <f t="shared" si="0"/>
        <v>Deep</v>
      </c>
      <c r="G16" s="7">
        <f>IF(A16="","",C16*TANH((2*PI()*Inputs!$B$10/C16)^0.75)^(2/3))</f>
        <v>244.64562306805524</v>
      </c>
      <c r="H16" s="19">
        <f>IF(A16="","",C16/Inputs!$B$27)</f>
        <v>2.1988449050218533</v>
      </c>
      <c r="I16" s="19">
        <f>IF(A16="","",C16*Inputs!$B$13)</f>
        <v>4.3976898100437163</v>
      </c>
      <c r="J16" s="20">
        <f>IF(A16="","",I16/Inputs!$B$4)</f>
        <v>8.7953796200874332E-2</v>
      </c>
      <c r="K16" s="19">
        <f>IF(A16="","",C16*Inputs!$B$14)</f>
        <v>8.7953796200874041</v>
      </c>
      <c r="L16" s="20">
        <f>IF(A16="","",K16/Inputs!$B$4)</f>
        <v>0.17590759240174808</v>
      </c>
      <c r="M16" s="19">
        <f>IF(A16="","",C16*Inputs!$B$15)</f>
        <v>17.590759240174833</v>
      </c>
      <c r="N16" s="20">
        <f>IF(A16="","",M16/Inputs!$B$4)</f>
        <v>0.35181518480349666</v>
      </c>
      <c r="O16" s="5">
        <f>IF(A16="",0,(J16&lt;=Inputs!$B$11)+(L16&lt;=Inputs!$B$11)+(N16&lt;=Inputs!$B$11))</f>
        <v>3</v>
      </c>
      <c r="P16" s="5">
        <f>IF(A16="",0,(J16&lt;=Inputs!$B$12)+(L16&lt;=Inputs!$B$12)+(N16&lt;=Inputs!$B$12))</f>
        <v>3</v>
      </c>
      <c r="Q16" s="18" t="s">
        <v>127</v>
      </c>
      <c r="R16" s="18" t="s">
        <v>128</v>
      </c>
      <c r="S16" s="7">
        <f>IF(A16="",0,(Inputs!$B$17+Inputs!$B$16*B16)/60)</f>
        <v>1.9192388155425115</v>
      </c>
      <c r="T16" s="4" t="str">
        <f>IF(A16="","",IF(B16&lt;Inputs!$B$28,"Below min comfortable wavemaker period. ","")&amp;IF(OR(ABS(A16-Inputs!$C$38)&lt;=Inputs!$B$32,ABS(A16-Inputs!$C$40)&lt;=Inputs!$B$32),"Near symmetric flume cross-mode – check cross-flume gauges. ","")&amp;IF(OR(ABS(A16-Inputs!$C$37)&lt;=Inputs!$B$32,ABS(A16-Inputs!$C$39)&lt;=Inputs!$B$32),"Near antisymmetric cross-mode – verify model centred. ","")&amp;"")</f>
        <v/>
      </c>
    </row>
    <row r="17" spans="1:20" x14ac:dyDescent="0.35">
      <c r="A17" s="21">
        <v>14</v>
      </c>
      <c r="B17" s="20">
        <f>IF(A17="","",A17/SQRT(Inputs!$B$4))</f>
        <v>1.9798989873223329</v>
      </c>
      <c r="C17" s="7">
        <f>IF(A17="","",Inputs!$B$25*A17^2/(2*PI()))</f>
        <v>306.01675837937267</v>
      </c>
      <c r="D17" s="7">
        <f>IF(A17="","",C17*TANH((2*PI()*Inputs!$B$8/C17)^0.75)^(2/3))</f>
        <v>300.76444623729776</v>
      </c>
      <c r="E17" s="19">
        <f>IF(A17="","",2*PI()*Inputs!$B$8/D17)</f>
        <v>2.8620284008052281</v>
      </c>
      <c r="F17" s="4" t="str">
        <f t="shared" si="0"/>
        <v>Near-deep / intermediate</v>
      </c>
      <c r="G17" s="7">
        <f>IF(A17="","",C17*TANH((2*PI()*Inputs!$B$10/C17)^0.75)^(2/3))</f>
        <v>276.24102093699747</v>
      </c>
      <c r="H17" s="19">
        <f>IF(A17="","",C17/Inputs!$B$27)</f>
        <v>2.5501396531614389</v>
      </c>
      <c r="I17" s="19">
        <f>IF(A17="","",C17*Inputs!$B$13)</f>
        <v>5.1002793063228884</v>
      </c>
      <c r="J17" s="20">
        <f>IF(A17="","",I17/Inputs!$B$4)</f>
        <v>0.10200558612645777</v>
      </c>
      <c r="K17" s="19">
        <f>IF(A17="","",C17*Inputs!$B$14)</f>
        <v>10.200558612645745</v>
      </c>
      <c r="L17" s="20">
        <f>IF(A17="","",K17/Inputs!$B$4)</f>
        <v>0.2040111722529149</v>
      </c>
      <c r="M17" s="19">
        <f>IF(A17="","",C17*Inputs!$B$15)</f>
        <v>20.401117225291522</v>
      </c>
      <c r="N17" s="20">
        <f>IF(A17="","",M17/Inputs!$B$4)</f>
        <v>0.40802234450583041</v>
      </c>
      <c r="O17" s="5">
        <f>IF(A17="",0,(J17&lt;=Inputs!$B$11)+(L17&lt;=Inputs!$B$11)+(N17&lt;=Inputs!$B$11))</f>
        <v>3</v>
      </c>
      <c r="P17" s="5">
        <f>IF(A17="",0,(J17&lt;=Inputs!$B$12)+(L17&lt;=Inputs!$B$12)+(N17&lt;=Inputs!$B$12))</f>
        <v>3</v>
      </c>
      <c r="Q17" s="18" t="s">
        <v>127</v>
      </c>
      <c r="R17" s="18" t="s">
        <v>128</v>
      </c>
      <c r="S17" s="7">
        <f>IF(A17="",0,(Inputs!$B$17+Inputs!$B$16*B17)/60)</f>
        <v>1.9899494936611666</v>
      </c>
      <c r="T17" s="4" t="str">
        <f>IF(A17="","",IF(B17&lt;Inputs!$B$28,"Below min comfortable wavemaker period. ","")&amp;IF(OR(ABS(A17-Inputs!$C$38)&lt;=Inputs!$B$32,ABS(A17-Inputs!$C$40)&lt;=Inputs!$B$32),"Near symmetric flume cross-mode – check cross-flume gauges. ","")&amp;IF(OR(ABS(A17-Inputs!$C$37)&lt;=Inputs!$B$32,ABS(A17-Inputs!$C$39)&lt;=Inputs!$B$32),"Near antisymmetric cross-mode – verify model centred. ","")&amp;"")</f>
        <v/>
      </c>
    </row>
    <row r="18" spans="1:20" x14ac:dyDescent="0.35">
      <c r="A18" s="21">
        <v>15</v>
      </c>
      <c r="B18" s="20">
        <f>IF(A18="","",A18/SQRT(Inputs!$B$4))</f>
        <v>2.1213203435596424</v>
      </c>
      <c r="C18" s="7">
        <f>IF(A18="","",Inputs!$B$25*A18^2/(2*PI()))</f>
        <v>351.29474813958598</v>
      </c>
      <c r="D18" s="7">
        <f>IF(A18="","",C18*TANH((2*PI()*Inputs!$B$8/C18)^0.75)^(2/3))</f>
        <v>342.09461546323422</v>
      </c>
      <c r="E18" s="19">
        <f>IF(A18="","",2*PI()*Inputs!$B$8/D18)</f>
        <v>2.5162523704677113</v>
      </c>
      <c r="F18" s="4" t="str">
        <f t="shared" si="0"/>
        <v>Near-deep / intermediate</v>
      </c>
      <c r="G18" s="7">
        <f>IF(A18="","",C18*TANH((2*PI()*Inputs!$B$10/C18)^0.75)^(2/3))</f>
        <v>307.87012339741233</v>
      </c>
      <c r="H18" s="19">
        <f>IF(A18="","",C18/Inputs!$B$27)</f>
        <v>2.92745623449655</v>
      </c>
      <c r="I18" s="19">
        <f>IF(A18="","",C18*Inputs!$B$13)</f>
        <v>5.8549124689931116</v>
      </c>
      <c r="J18" s="20">
        <f>IF(A18="","",I18/Inputs!$B$4)</f>
        <v>0.11709824937986223</v>
      </c>
      <c r="K18" s="19">
        <f>IF(A18="","",C18*Inputs!$B$14)</f>
        <v>11.709824937986188</v>
      </c>
      <c r="L18" s="20">
        <f>IF(A18="","",K18/Inputs!$B$4)</f>
        <v>0.23419649875972376</v>
      </c>
      <c r="M18" s="19">
        <f>IF(A18="","",C18*Inputs!$B$15)</f>
        <v>23.419649875972407</v>
      </c>
      <c r="N18" s="20">
        <f>IF(A18="","",M18/Inputs!$B$4)</f>
        <v>0.46839299751944813</v>
      </c>
      <c r="O18" s="5">
        <f>IF(A18="",0,(J18&lt;=Inputs!$B$11)+(L18&lt;=Inputs!$B$11)+(N18&lt;=Inputs!$B$11))</f>
        <v>3</v>
      </c>
      <c r="P18" s="5">
        <f>IF(A18="",0,(J18&lt;=Inputs!$B$12)+(L18&lt;=Inputs!$B$12)+(N18&lt;=Inputs!$B$12))</f>
        <v>3</v>
      </c>
      <c r="Q18" s="18" t="s">
        <v>127</v>
      </c>
      <c r="R18" s="18" t="s">
        <v>127</v>
      </c>
      <c r="S18" s="7">
        <f>IF(A18="",0,(Inputs!$B$17+Inputs!$B$16*B18)/60)</f>
        <v>2.0606601717798214</v>
      </c>
      <c r="T18" s="4" t="str">
        <f>IF(A18="","Storm peak periods 12.5–20 s",IF(B18&lt;Inputs!$B$28,"Below min comfortable wavemaker period. ","")&amp;IF(OR(ABS(A18-Inputs!$C$38)&lt;=Inputs!$B$32,ABS(A18-Inputs!$C$40)&lt;=Inputs!$B$32),"Near symmetric flume cross-mode – check cross-flume gauges. ","")&amp;IF(OR(ABS(A18-Inputs!$C$37)&lt;=Inputs!$B$32,ABS(A18-Inputs!$C$39)&lt;=Inputs!$B$32),"Near antisymmetric cross-mode – verify model centred. ","")&amp;"Storm peak periods 12.5–20 s")</f>
        <v>Storm peak periods 12.5–20 s</v>
      </c>
    </row>
    <row r="19" spans="1:20" x14ac:dyDescent="0.35">
      <c r="A19" s="21">
        <v>16</v>
      </c>
      <c r="B19" s="20">
        <f>IF(A19="","",A19/SQRT(Inputs!$B$4))</f>
        <v>2.2627416997969521</v>
      </c>
      <c r="C19" s="7">
        <f>IF(A19="","",Inputs!$B$25*A19^2/(2*PI()))</f>
        <v>399.69535788326232</v>
      </c>
      <c r="D19" s="7">
        <f>IF(A19="","",C19*TANH((2*PI()*Inputs!$B$8/C19)^0.75)^(2/3))</f>
        <v>384.75442457417438</v>
      </c>
      <c r="E19" s="19">
        <f>IF(A19="","",2*PI()*Inputs!$B$8/D19)</f>
        <v>2.2372618275573743</v>
      </c>
      <c r="F19" s="4" t="str">
        <f t="shared" si="0"/>
        <v>Near-deep / intermediate</v>
      </c>
      <c r="G19" s="7">
        <f>IF(A19="","",C19*TANH((2*PI()*Inputs!$B$10/C19)^0.75)^(2/3))</f>
        <v>339.34888226290383</v>
      </c>
      <c r="H19" s="19">
        <f>IF(A19="","",C19/Inputs!$B$27)</f>
        <v>3.3307946490271858</v>
      </c>
      <c r="I19" s="19">
        <f>IF(A19="","",C19*Inputs!$B$13)</f>
        <v>6.6615892980543858</v>
      </c>
      <c r="J19" s="20">
        <f>IF(A19="","",I19/Inputs!$B$4)</f>
        <v>0.13323178596108773</v>
      </c>
      <c r="K19" s="19">
        <f>IF(A19="","",C19*Inputs!$B$14)</f>
        <v>13.323178596108729</v>
      </c>
      <c r="L19" s="20">
        <f>IF(A19="","",K19/Inputs!$B$4)</f>
        <v>0.26646357192217457</v>
      </c>
      <c r="M19" s="19">
        <f>IF(A19="","",C19*Inputs!$B$15)</f>
        <v>26.646357192217497</v>
      </c>
      <c r="N19" s="20">
        <f>IF(A19="","",M19/Inputs!$B$4)</f>
        <v>0.53292714384434992</v>
      </c>
      <c r="O19" s="5">
        <f>IF(A19="",0,(J19&lt;=Inputs!$B$11)+(L19&lt;=Inputs!$B$11)+(N19&lt;=Inputs!$B$11))</f>
        <v>3</v>
      </c>
      <c r="P19" s="5">
        <f>IF(A19="",0,(J19&lt;=Inputs!$B$12)+(L19&lt;=Inputs!$B$12)+(N19&lt;=Inputs!$B$12))</f>
        <v>3</v>
      </c>
      <c r="Q19" s="18" t="s">
        <v>127</v>
      </c>
      <c r="R19" s="18" t="s">
        <v>128</v>
      </c>
      <c r="S19" s="7">
        <f>IF(A19="",0,(Inputs!$B$17+Inputs!$B$16*B19)/60)</f>
        <v>2.131370849898476</v>
      </c>
      <c r="T19" s="4" t="str">
        <f>IF(A19="","",IF(B19&lt;Inputs!$B$28,"Below min comfortable wavemaker period. ","")&amp;IF(OR(ABS(A19-Inputs!$C$38)&lt;=Inputs!$B$32,ABS(A19-Inputs!$C$40)&lt;=Inputs!$B$32),"Near symmetric flume cross-mode – check cross-flume gauges. ","")&amp;IF(OR(ABS(A19-Inputs!$C$37)&lt;=Inputs!$B$32,ABS(A19-Inputs!$C$39)&lt;=Inputs!$B$32),"Near antisymmetric cross-mode – verify model centred. ","")&amp;"")</f>
        <v xml:space="preserve">Near antisymmetric cross-mode – verify model centred. </v>
      </c>
    </row>
    <row r="20" spans="1:20" x14ac:dyDescent="0.35">
      <c r="A20" s="21">
        <v>17</v>
      </c>
      <c r="B20" s="20">
        <f>IF(A20="","",A20/SQRT(Inputs!$B$4))</f>
        <v>2.4041630560342613</v>
      </c>
      <c r="C20" s="7">
        <f>IF(A20="","",Inputs!$B$25*A20^2/(2*PI()))</f>
        <v>451.21858761040158</v>
      </c>
      <c r="D20" s="7">
        <f>IF(A20="","",C20*TANH((2*PI()*Inputs!$B$8/C20)^0.75)^(2/3))</f>
        <v>428.39486728635177</v>
      </c>
      <c r="E20" s="19">
        <f>IF(A20="","",2*PI()*Inputs!$B$8/D20)</f>
        <v>2.0093527089534935</v>
      </c>
      <c r="F20" s="4" t="str">
        <f t="shared" si="0"/>
        <v>Near-deep / intermediate</v>
      </c>
      <c r="G20" s="7">
        <f>IF(A20="","",C20*TANH((2*PI()*Inputs!$B$10/C20)^0.75)^(2/3))</f>
        <v>370.56077509961904</v>
      </c>
      <c r="H20" s="19">
        <f>IF(A20="","",C20/Inputs!$B$27)</f>
        <v>3.7601548967533467</v>
      </c>
      <c r="I20" s="19">
        <f>IF(A20="","",C20*Inputs!$B$13)</f>
        <v>7.5203097935067085</v>
      </c>
      <c r="J20" s="20">
        <f>IF(A20="","",I20/Inputs!$B$4)</f>
        <v>0.15040619587013418</v>
      </c>
      <c r="K20" s="19">
        <f>IF(A20="","",C20*Inputs!$B$14)</f>
        <v>15.040619587013371</v>
      </c>
      <c r="L20" s="20">
        <f>IF(A20="","",K20/Inputs!$B$4)</f>
        <v>0.30081239174026742</v>
      </c>
      <c r="M20" s="19">
        <f>IF(A20="","",C20*Inputs!$B$15)</f>
        <v>30.081239174026784</v>
      </c>
      <c r="N20" s="20">
        <f>IF(A20="","",M20/Inputs!$B$4)</f>
        <v>0.60162478348053572</v>
      </c>
      <c r="O20" s="5">
        <f>IF(A20="",0,(J20&lt;=Inputs!$B$11)+(L20&lt;=Inputs!$B$11)+(N20&lt;=Inputs!$B$11))</f>
        <v>3</v>
      </c>
      <c r="P20" s="5">
        <f>IF(A20="",0,(J20&lt;=Inputs!$B$12)+(L20&lt;=Inputs!$B$12)+(N20&lt;=Inputs!$B$12))</f>
        <v>3</v>
      </c>
      <c r="Q20" s="18" t="s">
        <v>127</v>
      </c>
      <c r="R20" s="18" t="s">
        <v>128</v>
      </c>
      <c r="S20" s="7">
        <f>IF(A20="",0,(Inputs!$B$17+Inputs!$B$16*B20)/60)</f>
        <v>2.2020815280171306</v>
      </c>
      <c r="T20" s="4" t="str">
        <f>IF(A20="","",IF(B20&lt;Inputs!$B$28,"Below min comfortable wavemaker period. ","")&amp;IF(OR(ABS(A20-Inputs!$C$38)&lt;=Inputs!$B$32,ABS(A20-Inputs!$C$40)&lt;=Inputs!$B$32),"Near symmetric flume cross-mode – check cross-flume gauges. ","")&amp;IF(OR(ABS(A20-Inputs!$C$37)&lt;=Inputs!$B$32,ABS(A20-Inputs!$C$39)&lt;=Inputs!$B$32),"Near antisymmetric cross-mode – verify model centred. ","")&amp;"")</f>
        <v/>
      </c>
    </row>
    <row r="21" spans="1:20" x14ac:dyDescent="0.35">
      <c r="A21" s="21">
        <v>18</v>
      </c>
      <c r="B21" s="20">
        <f>IF(A21="","",A21/SQRT(Inputs!$B$4))</f>
        <v>2.545584412271571</v>
      </c>
      <c r="C21" s="7">
        <f>IF(A21="","",Inputs!$B$25*A21^2/(2*PI()))</f>
        <v>505.86443732100383</v>
      </c>
      <c r="D21" s="7">
        <f>IF(A21="","",C21*TANH((2*PI()*Inputs!$B$8/C21)^0.75)^(2/3))</f>
        <v>472.70408603835557</v>
      </c>
      <c r="E21" s="19">
        <f>IF(A21="","",2*PI()*Inputs!$B$8/D21)</f>
        <v>1.8210047522495028</v>
      </c>
      <c r="F21" s="4" t="str">
        <f t="shared" si="0"/>
        <v>Near-deep / intermediate</v>
      </c>
      <c r="G21" s="7">
        <f>IF(A21="","",C21*TANH((2*PI()*Inputs!$B$10/C21)^0.75)^(2/3))</f>
        <v>401.43992684083457</v>
      </c>
      <c r="H21" s="19">
        <f>IF(A21="","",C21/Inputs!$B$27)</f>
        <v>4.2155369776750318</v>
      </c>
      <c r="I21" s="19">
        <f>IF(A21="","",C21*Inputs!$B$13)</f>
        <v>8.4310739553500813</v>
      </c>
      <c r="J21" s="20">
        <f>IF(A21="","",I21/Inputs!$B$4)</f>
        <v>0.16862147910700162</v>
      </c>
      <c r="K21" s="19">
        <f>IF(A21="","",C21*Inputs!$B$14)</f>
        <v>16.862147910700109</v>
      </c>
      <c r="L21" s="20">
        <f>IF(A21="","",K21/Inputs!$B$4)</f>
        <v>0.33724295821400219</v>
      </c>
      <c r="M21" s="19">
        <f>IF(A21="","",C21*Inputs!$B$15)</f>
        <v>33.724295821400268</v>
      </c>
      <c r="N21" s="20">
        <f>IF(A21="","",M21/Inputs!$B$4)</f>
        <v>0.67448591642800537</v>
      </c>
      <c r="O21" s="5">
        <f>IF(A21="",0,(J21&lt;=Inputs!$B$11)+(L21&lt;=Inputs!$B$11)+(N21&lt;=Inputs!$B$11))</f>
        <v>3</v>
      </c>
      <c r="P21" s="5">
        <f>IF(A21="",0,(J21&lt;=Inputs!$B$12)+(L21&lt;=Inputs!$B$12)+(N21&lt;=Inputs!$B$12))</f>
        <v>3</v>
      </c>
      <c r="Q21" s="18" t="s">
        <v>127</v>
      </c>
      <c r="R21" s="18" t="s">
        <v>128</v>
      </c>
      <c r="S21" s="7">
        <f>IF(A21="",0,(Inputs!$B$17+Inputs!$B$16*B21)/60)</f>
        <v>2.2727922061357853</v>
      </c>
      <c r="T21" s="4" t="str">
        <f>IF(A21="","",IF(B21&lt;Inputs!$B$28,"Below min comfortable wavemaker period. ","")&amp;IF(OR(ABS(A21-Inputs!$C$38)&lt;=Inputs!$B$32,ABS(A21-Inputs!$C$40)&lt;=Inputs!$B$32),"Near symmetric flume cross-mode – check cross-flume gauges. ","")&amp;IF(OR(ABS(A21-Inputs!$C$37)&lt;=Inputs!$B$32,ABS(A21-Inputs!$C$39)&lt;=Inputs!$B$32),"Near antisymmetric cross-mode – verify model centred. ","")&amp;"")</f>
        <v/>
      </c>
    </row>
    <row r="22" spans="1:20" x14ac:dyDescent="0.35">
      <c r="A22" s="21">
        <v>19</v>
      </c>
      <c r="B22" s="20">
        <f>IF(A22="","",A22/SQRT(Inputs!$B$4))</f>
        <v>2.6870057685088806</v>
      </c>
      <c r="C22" s="7">
        <f>IF(A22="","",Inputs!$B$25*A22^2/(2*PI()))</f>
        <v>563.63290701506912</v>
      </c>
      <c r="D22" s="7">
        <f>IF(A22="","",C22*TANH((2*PI()*Inputs!$B$8/C22)^0.75)^(2/3))</f>
        <v>517.41560716685137</v>
      </c>
      <c r="E22" s="19">
        <f>IF(A22="","",2*PI()*Inputs!$B$8/D22)</f>
        <v>1.6636459649854005</v>
      </c>
      <c r="F22" s="4" t="str">
        <f t="shared" si="0"/>
        <v>Near-deep / intermediate</v>
      </c>
      <c r="G22" s="7">
        <f>IF(A22="","",C22*TANH((2*PI()*Inputs!$B$10/C22)^0.75)^(2/3))</f>
        <v>431.95631429317996</v>
      </c>
      <c r="H22" s="19">
        <f>IF(A22="","",C22/Inputs!$B$27)</f>
        <v>4.6969408917922424</v>
      </c>
      <c r="I22" s="19">
        <f>IF(A22="","",C22*Inputs!$B$13)</f>
        <v>9.3938817835845043</v>
      </c>
      <c r="J22" s="20">
        <f>IF(A22="","",I22/Inputs!$B$4)</f>
        <v>0.18787763567169008</v>
      </c>
      <c r="K22" s="19">
        <f>IF(A22="","",C22*Inputs!$B$14)</f>
        <v>18.787763567168952</v>
      </c>
      <c r="L22" s="20">
        <f>IF(A22="","",K22/Inputs!$B$4)</f>
        <v>0.37575527134337905</v>
      </c>
      <c r="M22" s="19">
        <f>IF(A22="","",C22*Inputs!$B$15)</f>
        <v>37.575527134337953</v>
      </c>
      <c r="N22" s="20">
        <f>IF(A22="","",M22/Inputs!$B$4)</f>
        <v>0.7515105426867591</v>
      </c>
      <c r="O22" s="5">
        <f>IF(A22="",0,(J22&lt;=Inputs!$B$11)+(L22&lt;=Inputs!$B$11)+(N22&lt;=Inputs!$B$11))</f>
        <v>3</v>
      </c>
      <c r="P22" s="5">
        <f>IF(A22="",0,(J22&lt;=Inputs!$B$12)+(L22&lt;=Inputs!$B$12)+(N22&lt;=Inputs!$B$12))</f>
        <v>3</v>
      </c>
      <c r="Q22" s="18" t="s">
        <v>127</v>
      </c>
      <c r="R22" s="18" t="s">
        <v>128</v>
      </c>
      <c r="S22" s="7">
        <f>IF(A22="",0,(Inputs!$B$17+Inputs!$B$16*B22)/60)</f>
        <v>2.3435028842544403</v>
      </c>
      <c r="T22" s="4" t="str">
        <f>IF(A22="","",IF(B22&lt;Inputs!$B$28,"Below min comfortable wavemaker period. ","")&amp;IF(OR(ABS(A22-Inputs!$C$38)&lt;=Inputs!$B$32,ABS(A22-Inputs!$C$40)&lt;=Inputs!$B$32),"Near symmetric flume cross-mode – check cross-flume gauges. ","")&amp;IF(OR(ABS(A22-Inputs!$C$37)&lt;=Inputs!$B$32,ABS(A22-Inputs!$C$39)&lt;=Inputs!$B$32),"Near antisymmetric cross-mode – verify model centred. ","")&amp;"")</f>
        <v/>
      </c>
    </row>
    <row r="23" spans="1:20" x14ac:dyDescent="0.35">
      <c r="A23" s="21">
        <v>20</v>
      </c>
      <c r="B23" s="20">
        <f>IF(A23="","",A23/SQRT(Inputs!$B$4))</f>
        <v>2.8284271247461898</v>
      </c>
      <c r="C23" s="7">
        <f>IF(A23="","",Inputs!$B$25*A23^2/(2*PI()))</f>
        <v>624.52399669259728</v>
      </c>
      <c r="D23" s="7">
        <f>IF(A23="","",C23*TANH((2*PI()*Inputs!$B$8/C23)^0.75)^(2/3))</f>
        <v>562.31061490380387</v>
      </c>
      <c r="E23" s="19">
        <f>IF(A23="","",2*PI()*Inputs!$B$8/D23)</f>
        <v>1.5308200917225478</v>
      </c>
      <c r="F23" s="4" t="str">
        <f t="shared" si="0"/>
        <v>Near-deep / intermediate</v>
      </c>
      <c r="G23" s="7">
        <f>IF(A23="","",C23*TANH((2*PI()*Inputs!$B$10/C23)^0.75)^(2/3))</f>
        <v>462.10400215908419</v>
      </c>
      <c r="H23" s="19">
        <f>IF(A23="","",C23/Inputs!$B$27)</f>
        <v>5.2043666391049772</v>
      </c>
      <c r="I23" s="19">
        <f>IF(A23="","",C23*Inputs!$B$13)</f>
        <v>10.408733278209976</v>
      </c>
      <c r="J23" s="20">
        <f>IF(A23="","",I23/Inputs!$B$4)</f>
        <v>0.2081746655641995</v>
      </c>
      <c r="K23" s="19">
        <f>IF(A23="","",C23*Inputs!$B$14)</f>
        <v>20.817466556419888</v>
      </c>
      <c r="L23" s="20">
        <f>IF(A23="","",K23/Inputs!$B$4)</f>
        <v>0.41634933112839773</v>
      </c>
      <c r="M23" s="19">
        <f>IF(A23="","",C23*Inputs!$B$15)</f>
        <v>41.634933112839832</v>
      </c>
      <c r="N23" s="20">
        <f>IF(A23="","",M23/Inputs!$B$4)</f>
        <v>0.83269866225679667</v>
      </c>
      <c r="O23" s="5">
        <f>IF(A23="",0,(J23&lt;=Inputs!$B$11)+(L23&lt;=Inputs!$B$11)+(N23&lt;=Inputs!$B$11))</f>
        <v>3</v>
      </c>
      <c r="P23" s="5">
        <f>IF(A23="",0,(J23&lt;=Inputs!$B$12)+(L23&lt;=Inputs!$B$12)+(N23&lt;=Inputs!$B$12))</f>
        <v>2</v>
      </c>
      <c r="Q23" s="18" t="s">
        <v>127</v>
      </c>
      <c r="R23" s="18" t="s">
        <v>127</v>
      </c>
      <c r="S23" s="7">
        <f>IF(A23="",0,(Inputs!$B$17+Inputs!$B$16*B23)/60)</f>
        <v>2.4142135623730949</v>
      </c>
      <c r="T23" s="4" t="str">
        <f>IF(A23="","Upper bound (changed from 18 s)",IF(B23&lt;Inputs!$B$28,"Below min comfortable wavemaker period. ","")&amp;IF(OR(ABS(A23-Inputs!$C$38)&lt;=Inputs!$B$32,ABS(A23-Inputs!$C$40)&lt;=Inputs!$B$32),"Near symmetric flume cross-mode – check cross-flume gauges. ","")&amp;IF(OR(ABS(A23-Inputs!$C$37)&lt;=Inputs!$B$32,ABS(A23-Inputs!$C$39)&lt;=Inputs!$B$32),"Near antisymmetric cross-mode – verify model centred. ","")&amp;"Upper bound (changed from 18 s)")</f>
        <v>Upper bound (changed from 18 s)</v>
      </c>
    </row>
    <row r="24" spans="1:20" x14ac:dyDescent="0.35">
      <c r="A24" s="21">
        <v>17.899999999999999</v>
      </c>
      <c r="B24" s="20">
        <f>IF(A24="","",A24/SQRT(Inputs!$B$4))</f>
        <v>2.5314422766478399</v>
      </c>
      <c r="C24" s="7">
        <f>IF(A24="","",Inputs!$B$25*A24^2/(2*PI()))</f>
        <v>500.25933445068779</v>
      </c>
      <c r="D24" s="7">
        <f>IF(A24="","",C24*TANH((2*PI()*Inputs!$B$8/C24)^0.75)^(2/3))</f>
        <v>468.25103778153732</v>
      </c>
      <c r="E24" s="19">
        <f>IF(A24="","",2*PI()*Inputs!$B$8/D24)</f>
        <v>1.8383224331159052</v>
      </c>
      <c r="F24" s="4" t="str">
        <f t="shared" si="0"/>
        <v>Near-deep / intermediate</v>
      </c>
      <c r="G24" s="7">
        <f>IF(A24="","",C24*TANH((2*PI()*Inputs!$B$10/C24)^0.75)^(2/3))</f>
        <v>398.36806318708426</v>
      </c>
      <c r="H24" s="19">
        <f>IF(A24="","",C24/Inputs!$B$27)</f>
        <v>4.1688277870890653</v>
      </c>
      <c r="I24" s="19">
        <f>IF(A24="","",C24*Inputs!$B$13)</f>
        <v>8.3376555741781466</v>
      </c>
      <c r="J24" s="20">
        <f>IF(A24="","",I24/Inputs!$B$4)</f>
        <v>0.16675311148356292</v>
      </c>
      <c r="K24" s="19">
        <f>IF(A24="","",C24*Inputs!$B$14)</f>
        <v>16.675311148356244</v>
      </c>
      <c r="L24" s="20">
        <f>IF(A24="","",K24/Inputs!$B$4)</f>
        <v>0.33350622296712484</v>
      </c>
      <c r="M24" s="19">
        <f>IF(A24="","",C24*Inputs!$B$15)</f>
        <v>33.35062229671253</v>
      </c>
      <c r="N24" s="20">
        <f>IF(A24="","",M24/Inputs!$B$4)</f>
        <v>0.66701244593425058</v>
      </c>
      <c r="O24" s="5">
        <f>IF(A24="",0,(J24&lt;=Inputs!$B$11)+(L24&lt;=Inputs!$B$11)+(N24&lt;=Inputs!$B$11))</f>
        <v>3</v>
      </c>
      <c r="P24" s="5">
        <f>IF(A24="",0,(J24&lt;=Inputs!$B$12)+(L24&lt;=Inputs!$B$12)+(N24&lt;=Inputs!$B$12))</f>
        <v>3</v>
      </c>
      <c r="Q24" s="18" t="s">
        <v>128</v>
      </c>
      <c r="R24" s="18" t="s">
        <v>128</v>
      </c>
      <c r="S24" s="7">
        <f>IF(A24="",0,(Inputs!$B$17+Inputs!$B$16*B24)/60)</f>
        <v>2.26572113832392</v>
      </c>
      <c r="T24" s="4" t="str">
        <f>IF(A24="",_xlfn._LONGTEXT("FloatSim pre-test: heave natural period, moored: buoy 17.7, cluster 18.0, platform 18.1 s FS. Broad peak (zeta ~11 %): the 1 s grid resolves it. The heave RAO peaks later in waves (~18.5-19 s FS). Replace with the measured decay. See FloatSim_Predictions.",")"),IF(B24&lt;Inputs!$B$28,"Below min comfortable wavemaker period. ","")&amp;IF(OR(ABS(A24-Inputs!$C$38)&lt;=Inputs!$B$32,ABS(A24-Inputs!$C$40)&lt;=Inputs!$B$32),"Near symmetric flume cross-mode – check cross-flume gauges. ","")&amp;IF(OR(ABS(A24-Inputs!$C$37)&lt;=Inputs!$B$32,ABS(A24-Inputs!$C$39)&lt;=Inputs!$B$32),"Near antisymmetric cross-mode – verify model centred. ","")&amp;_xlfn._LONGTEXT("FloatSim pre-test: heave natural period, moored: buoy 17.7, cluster 18.0, platform 18.1 s FS. Broad peak (zeta ~11 %): the 1 s grid resolves it. The heave RAO peaks later in waves (~18.5-19 s FS). Replace with the measured decay. See FloatSim_Predictions.",")"))</f>
        <v>FloatSim pre-test: heave natural period, moored: buoy 17.7, cluster 18.0, platform 18.1 s FS. Broad peak (zeta ~11 %): the 1 s grid resolves it. The heave RAO peaks later in waves (~18.5-19 s FS). Replace with the measured decay. See FloatSim_Predictions.)</v>
      </c>
    </row>
    <row r="25" spans="1:20" x14ac:dyDescent="0.35">
      <c r="A25" s="21">
        <v>19.600000000000001</v>
      </c>
      <c r="B25" s="20">
        <f>IF(A25="","",A25/SQRT(Inputs!$B$4))</f>
        <v>2.7718585822512662</v>
      </c>
      <c r="C25" s="7">
        <f>IF(A25="","",Inputs!$B$25*A25^2/(2*PI()))</f>
        <v>599.79284642357061</v>
      </c>
      <c r="D25" s="7">
        <f>IF(A25="","",C25*TANH((2*PI()*Inputs!$B$8/C25)^0.75)^(2/3))</f>
        <v>544.34265249285079</v>
      </c>
      <c r="E25" s="19">
        <f>IF(A25="","",2*PI()*Inputs!$B$8/D25)</f>
        <v>1.5813502453675699</v>
      </c>
      <c r="F25" s="4" t="str">
        <f t="shared" si="0"/>
        <v>Near-deep / intermediate</v>
      </c>
      <c r="G25" s="7">
        <f>IF(A25="","",C25*TANH((2*PI()*Inputs!$B$10/C25)^0.75)^(2/3))</f>
        <v>450.08883048863845</v>
      </c>
      <c r="H25" s="19">
        <f>IF(A25="","",C25/Inputs!$B$27)</f>
        <v>4.9982737201964218</v>
      </c>
      <c r="I25" s="19">
        <f>IF(A25="","",C25*Inputs!$B$13)</f>
        <v>9.9965474403928649</v>
      </c>
      <c r="J25" s="20">
        <f>IF(A25="","",I25/Inputs!$B$4)</f>
        <v>0.19993094880785731</v>
      </c>
      <c r="K25" s="19">
        <f>IF(A25="","",C25*Inputs!$B$14)</f>
        <v>19.993094880785666</v>
      </c>
      <c r="L25" s="20">
        <f>IF(A25="","",K25/Inputs!$B$4)</f>
        <v>0.39986189761571334</v>
      </c>
      <c r="M25" s="19">
        <f>IF(A25="","",C25*Inputs!$B$15)</f>
        <v>39.986189761571389</v>
      </c>
      <c r="N25" s="20">
        <f>IF(A25="","",M25/Inputs!$B$4)</f>
        <v>0.79972379523142778</v>
      </c>
      <c r="O25" s="5">
        <f>IF(A25="",0,(J25&lt;=Inputs!$B$11)+(L25&lt;=Inputs!$B$11)+(N25&lt;=Inputs!$B$11))</f>
        <v>3</v>
      </c>
      <c r="P25" s="5">
        <f>IF(A25="",0,(J25&lt;=Inputs!$B$12)+(L25&lt;=Inputs!$B$12)+(N25&lt;=Inputs!$B$12))</f>
        <v>3</v>
      </c>
      <c r="Q25" s="18" t="s">
        <v>128</v>
      </c>
      <c r="R25" s="18" t="s">
        <v>128</v>
      </c>
      <c r="S25" s="7">
        <f>IF(A25="",0,(Inputs!$B$17+Inputs!$B$16*B25)/60)</f>
        <v>2.3859292911256329</v>
      </c>
      <c r="T25" s="4" t="str">
        <f>IF(A25="","FloatSim pre-test: tilt/pitch natural period, moored (operational cords): buoy 18.8, cluster 19.6, platform 20.1 s FS. Sharp peak (zeta ~3-4 %): needs the fine-step band per configuration (FloatSim_Predictions). Replace with the measured decay.",IF(B25&lt;Inputs!$B$28,"Below min comfortable wavemaker period. ","")&amp;IF(OR(ABS(A25-Inputs!$C$38)&lt;=Inputs!$B$32,ABS(A25-Inputs!$C$40)&lt;=Inputs!$B$32),"Near symmetric flume cross-mode – check cross-flume gauges. ","")&amp;IF(OR(ABS(A25-Inputs!$C$37)&lt;=Inputs!$B$32,ABS(A25-Inputs!$C$39)&lt;=Inputs!$B$32),"Near antisymmetric cross-mode – verify model centred. ","")&amp;"FloatSim pre-test: tilt/pitch natural period, moored (operational cords): buoy 18.8, cluster 19.6, platform 20.1 s FS. Sharp peak (zeta ~3-4 %): needs the fine-step band per configuration (FloatSim_Predictions). Replace with the measured decay.")</f>
        <v>FloatSim pre-test: tilt/pitch natural period, moored (operational cords): buoy 18.8, cluster 19.6, platform 20.1 s FS. Sharp peak (zeta ~3-4 %): needs the fine-step band per configuration (FloatSim_Predictions). Replace with the measured decay.</v>
      </c>
    </row>
    <row r="26" spans="1:20" x14ac:dyDescent="0.35">
      <c r="A26" s="21">
        <v>20.6</v>
      </c>
      <c r="B26" s="20">
        <f>IF(A26="","",A26/SQRT(Inputs!$B$4))</f>
        <v>2.9132799384885759</v>
      </c>
      <c r="C26" s="7">
        <f>IF(A26="","",Inputs!$B$25*A26^2/(2*PI()))</f>
        <v>662.5575080911766</v>
      </c>
      <c r="D26" s="7">
        <f>IF(A26="","",C26*TANH((2*PI()*Inputs!$B$8/C26)^0.75)^(2/3))</f>
        <v>589.26189481654887</v>
      </c>
      <c r="E26" s="19">
        <f>IF(A26="","",2*PI()*Inputs!$B$8/D26)</f>
        <v>1.4608044311970818</v>
      </c>
      <c r="F26" s="4" t="str">
        <f t="shared" si="0"/>
        <v>Near-deep / intermediate</v>
      </c>
      <c r="G26" s="7">
        <f>IF(A26="","",C26*TANH((2*PI()*Inputs!$B$10/C26)^0.75)^(2/3))</f>
        <v>480.01910717897476</v>
      </c>
      <c r="H26" s="19">
        <f>IF(A26="","",C26/Inputs!$B$27)</f>
        <v>5.521312567426472</v>
      </c>
      <c r="I26" s="19">
        <f>IF(A26="","",C26*Inputs!$B$13)</f>
        <v>11.042625134852965</v>
      </c>
      <c r="J26" s="20">
        <f>IF(A26="","",I26/Inputs!$B$4)</f>
        <v>0.22085250269705931</v>
      </c>
      <c r="K26" s="19">
        <f>IF(A26="","",C26*Inputs!$B$14)</f>
        <v>22.085250269705863</v>
      </c>
      <c r="L26" s="20">
        <f>IF(A26="","",K26/Inputs!$B$4)</f>
        <v>0.44170500539411728</v>
      </c>
      <c r="M26" s="19">
        <f>IF(A26="","",C26*Inputs!$B$15)</f>
        <v>44.17050053941179</v>
      </c>
      <c r="N26" s="20">
        <f>IF(A26="","",M26/Inputs!$B$4)</f>
        <v>0.88341001078823578</v>
      </c>
      <c r="O26" s="5">
        <f>IF(A26="",0,(J26&lt;=Inputs!$B$11)+(L26&lt;=Inputs!$B$11)+(N26&lt;=Inputs!$B$11))</f>
        <v>3</v>
      </c>
      <c r="P26" s="5">
        <f>IF(A26="",0,(J26&lt;=Inputs!$B$12)+(L26&lt;=Inputs!$B$12)+(N26&lt;=Inputs!$B$12))</f>
        <v>2</v>
      </c>
      <c r="Q26" s="18" t="s">
        <v>128</v>
      </c>
      <c r="R26" s="18" t="s">
        <v>128</v>
      </c>
      <c r="S26" s="7">
        <f>IF(A26="",0,(Inputs!$B$17+Inputs!$B$16*B26)/60)</f>
        <v>2.456639969244288</v>
      </c>
      <c r="T26" s="4" t="str">
        <f>IF(A26="","FloatSim pre-test: platform tilt 20.1 s FS + 0.5 s, the resonance's upper flank, beyond the 20 s bound. Extend the sweep to ~22 s FS (FloatSim_Predictions).",IF(B26&lt;Inputs!$B$28,"Below min comfortable wavemaker period. ","")&amp;IF(OR(ABS(A26-Inputs!$C$38)&lt;=Inputs!$B$32,ABS(A26-Inputs!$C$40)&lt;=Inputs!$B$32),"Near symmetric flume cross-mode – check cross-flume gauges. ","")&amp;IF(OR(ABS(A26-Inputs!$C$37)&lt;=Inputs!$B$32,ABS(A26-Inputs!$C$39)&lt;=Inputs!$B$32),"Near antisymmetric cross-mode – verify model centred. ","")&amp;"FloatSim pre-test: platform tilt 20.1 s FS + 0.5 s, the resonance's upper flank, beyond the 20 s bound. Extend the sweep to ~22 s FS (FloatSim_Predictions).")</f>
        <v>FloatSim pre-test: platform tilt 20.1 s FS + 0.5 s, the resonance's upper flank, beyond the 20 s bound. Extend the sweep to ~22 s FS (FloatSim_Predictions).</v>
      </c>
    </row>
    <row r="28" spans="1:20" x14ac:dyDescent="0.35">
      <c r="A28" s="2" t="s">
        <v>129</v>
      </c>
    </row>
  </sheetData>
  <dataValidations count="1">
    <dataValidation type="list" sqref="Q5:R26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18" customWidth="1"/>
    <col min="3" max="4" width="8" customWidth="1"/>
    <col min="5" max="5" width="7" customWidth="1"/>
    <col min="6" max="6" width="12" customWidth="1"/>
    <col min="7" max="7" width="6" customWidth="1"/>
    <col min="8" max="11" width="8" customWidth="1"/>
    <col min="12" max="12" width="9" customWidth="1"/>
    <col min="13" max="15" width="8" customWidth="1"/>
    <col min="16" max="16" width="9" customWidth="1"/>
    <col min="17" max="17" width="70" customWidth="1"/>
  </cols>
  <sheetData>
    <row r="1" spans="1:17" ht="17.649999999999999" customHeight="1" x14ac:dyDescent="0.4">
      <c r="A1" s="1" t="s">
        <v>130</v>
      </c>
    </row>
    <row r="2" spans="1:17" x14ac:dyDescent="0.35">
      <c r="A2" s="2" t="s">
        <v>131</v>
      </c>
    </row>
    <row r="4" spans="1:17" ht="42" customHeight="1" x14ac:dyDescent="0.35">
      <c r="A4" s="3" t="s">
        <v>132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  <c r="H4" s="3" t="s">
        <v>123</v>
      </c>
      <c r="I4" s="3" t="s">
        <v>124</v>
      </c>
      <c r="J4" s="3" t="s">
        <v>139</v>
      </c>
      <c r="K4" s="3" t="s">
        <v>140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125</v>
      </c>
      <c r="Q4" s="3" t="s">
        <v>145</v>
      </c>
    </row>
    <row r="5" spans="1:17" x14ac:dyDescent="0.35">
      <c r="A5" s="18" t="s">
        <v>146</v>
      </c>
      <c r="B5" s="18" t="s">
        <v>147</v>
      </c>
      <c r="C5" s="21">
        <v>1.5</v>
      </c>
      <c r="D5" s="21">
        <v>8</v>
      </c>
      <c r="E5" s="21">
        <v>3.3</v>
      </c>
      <c r="F5" s="18" t="s">
        <v>148</v>
      </c>
      <c r="G5" s="18">
        <v>1</v>
      </c>
      <c r="H5" s="18" t="s">
        <v>127</v>
      </c>
      <c r="I5" s="18" t="s">
        <v>128</v>
      </c>
      <c r="J5" s="20">
        <f>C5/Inputs!$B$4</f>
        <v>0.03</v>
      </c>
      <c r="K5" s="19">
        <f>D5/SQRT(Inputs!$B$4)</f>
        <v>1.131370849898476</v>
      </c>
      <c r="L5" s="20">
        <f t="shared" ref="L5:L18" si="0">1.86*J5</f>
        <v>5.5800000000000002E-2</v>
      </c>
      <c r="M5" s="5">
        <f>IF(AND(L5&lt;=Inputs!$B$11,K5&gt;=Inputs!$B$28),1,0)</f>
        <v>1</v>
      </c>
      <c r="N5" s="5">
        <f>IF(AND(L5&lt;=Inputs!$B$12,K5&gt;=Inputs!$B$28),1,0)</f>
        <v>1</v>
      </c>
      <c r="O5" s="20">
        <f>C5/(Inputs!$B$25*D5^2/(2*PI()))</f>
        <v>1.5011432786648475E-2</v>
      </c>
      <c r="P5" s="7">
        <f>Inputs!$B$20*60/SQRT(Inputs!$B$4)+1</f>
        <v>26.45584412271571</v>
      </c>
      <c r="Q5" s="4" t="s">
        <v>149</v>
      </c>
    </row>
    <row r="6" spans="1:17" x14ac:dyDescent="0.35">
      <c r="A6" s="18" t="s">
        <v>150</v>
      </c>
      <c r="B6" s="18" t="s">
        <v>151</v>
      </c>
      <c r="C6" s="21">
        <v>2</v>
      </c>
      <c r="D6" s="21">
        <v>10</v>
      </c>
      <c r="E6" s="21">
        <v>3.3</v>
      </c>
      <c r="F6" s="18" t="s">
        <v>148</v>
      </c>
      <c r="G6" s="18">
        <v>1</v>
      </c>
      <c r="H6" s="18" t="s">
        <v>127</v>
      </c>
      <c r="I6" s="18" t="s">
        <v>127</v>
      </c>
      <c r="J6" s="20">
        <f>C6/Inputs!$B$4</f>
        <v>0.04</v>
      </c>
      <c r="K6" s="19">
        <f>D6/SQRT(Inputs!$B$4)</f>
        <v>1.4142135623730949</v>
      </c>
      <c r="L6" s="20">
        <f t="shared" si="0"/>
        <v>7.4400000000000008E-2</v>
      </c>
      <c r="M6" s="5">
        <f>IF(AND(L6&lt;=Inputs!$B$11,K6&gt;=Inputs!$B$28),1,0)</f>
        <v>1</v>
      </c>
      <c r="N6" s="5">
        <f>IF(AND(L6&lt;=Inputs!$B$12,K6&gt;=Inputs!$B$28),1,0)</f>
        <v>1</v>
      </c>
      <c r="O6" s="20">
        <f>C6/(Inputs!$B$25*D6^2/(2*PI()))</f>
        <v>1.2809755977940034E-2</v>
      </c>
      <c r="P6" s="7">
        <f>Inputs!$B$20*60/SQRT(Inputs!$B$4)+1</f>
        <v>26.45584412271571</v>
      </c>
      <c r="Q6" s="4" t="s">
        <v>152</v>
      </c>
    </row>
    <row r="7" spans="1:17" x14ac:dyDescent="0.35">
      <c r="A7" s="18" t="s">
        <v>153</v>
      </c>
      <c r="B7" s="18" t="s">
        <v>154</v>
      </c>
      <c r="C7" s="21">
        <v>2.8</v>
      </c>
      <c r="D7" s="21">
        <v>11</v>
      </c>
      <c r="E7" s="21">
        <v>3.3</v>
      </c>
      <c r="F7" s="18" t="s">
        <v>148</v>
      </c>
      <c r="G7" s="18">
        <v>1</v>
      </c>
      <c r="H7" s="18" t="s">
        <v>127</v>
      </c>
      <c r="I7" s="18" t="s">
        <v>128</v>
      </c>
      <c r="J7" s="20">
        <f>C7/Inputs!$B$4</f>
        <v>5.5999999999999994E-2</v>
      </c>
      <c r="K7" s="19">
        <f>D7/SQRT(Inputs!$B$4)</f>
        <v>1.5556349186104046</v>
      </c>
      <c r="L7" s="20">
        <f t="shared" si="0"/>
        <v>0.10415999999999999</v>
      </c>
      <c r="M7" s="5">
        <f>IF(AND(L7&lt;=Inputs!$B$11,K7&gt;=Inputs!$B$28),1,0)</f>
        <v>1</v>
      </c>
      <c r="N7" s="5">
        <f>IF(AND(L7&lt;=Inputs!$B$12,K7&gt;=Inputs!$B$28),1,0)</f>
        <v>1</v>
      </c>
      <c r="O7" s="20">
        <f>C7/(Inputs!$B$25*D7^2/(2*PI()))</f>
        <v>1.4821205263732269E-2</v>
      </c>
      <c r="P7" s="7">
        <f>Inputs!$B$20*60/SQRT(Inputs!$B$4)+1</f>
        <v>26.45584412271571</v>
      </c>
      <c r="Q7" s="4" t="s">
        <v>155</v>
      </c>
    </row>
    <row r="8" spans="1:17" x14ac:dyDescent="0.35">
      <c r="A8" s="18" t="s">
        <v>156</v>
      </c>
      <c r="B8" s="18" t="s">
        <v>157</v>
      </c>
      <c r="C8" s="21">
        <v>3.7</v>
      </c>
      <c r="D8" s="21">
        <v>12.5</v>
      </c>
      <c r="E8" s="21">
        <v>3.3</v>
      </c>
      <c r="F8" s="18" t="s">
        <v>148</v>
      </c>
      <c r="G8" s="18">
        <v>1</v>
      </c>
      <c r="H8" s="18" t="s">
        <v>127</v>
      </c>
      <c r="I8" s="18" t="s">
        <v>127</v>
      </c>
      <c r="J8" s="20">
        <f>C8/Inputs!$B$4</f>
        <v>7.400000000000001E-2</v>
      </c>
      <c r="K8" s="19">
        <f>D8/SQRT(Inputs!$B$4)</f>
        <v>1.7677669529663687</v>
      </c>
      <c r="L8" s="20">
        <f t="shared" si="0"/>
        <v>0.13764000000000004</v>
      </c>
      <c r="M8" s="5">
        <f>IF(AND(L8&lt;=Inputs!$B$11,K8&gt;=Inputs!$B$28),1,0)</f>
        <v>1</v>
      </c>
      <c r="N8" s="5">
        <f>IF(AND(L8&lt;=Inputs!$B$12,K8&gt;=Inputs!$B$28),1,0)</f>
        <v>1</v>
      </c>
      <c r="O8" s="20">
        <f>C8/(Inputs!$B$25*D8^2/(2*PI()))</f>
        <v>1.5166751077880999E-2</v>
      </c>
      <c r="P8" s="7">
        <f>Inputs!$B$20*60/SQRT(Inputs!$B$4)+1</f>
        <v>26.45584412271571</v>
      </c>
      <c r="Q8" s="4" t="s">
        <v>158</v>
      </c>
    </row>
    <row r="9" spans="1:17" x14ac:dyDescent="0.35">
      <c r="A9" s="18" t="s">
        <v>159</v>
      </c>
      <c r="B9" s="18" t="s">
        <v>160</v>
      </c>
      <c r="C9" s="21">
        <v>2.5</v>
      </c>
      <c r="D9" s="21">
        <v>16</v>
      </c>
      <c r="E9" s="21">
        <v>5</v>
      </c>
      <c r="F9" s="18" t="s">
        <v>148</v>
      </c>
      <c r="G9" s="18">
        <v>1</v>
      </c>
      <c r="H9" s="18" t="s">
        <v>127</v>
      </c>
      <c r="I9" s="18" t="s">
        <v>128</v>
      </c>
      <c r="J9" s="20">
        <f>C9/Inputs!$B$4</f>
        <v>0.05</v>
      </c>
      <c r="K9" s="19">
        <f>D9/SQRT(Inputs!$B$4)</f>
        <v>2.2627416997969521</v>
      </c>
      <c r="L9" s="20">
        <f t="shared" si="0"/>
        <v>9.3000000000000013E-2</v>
      </c>
      <c r="M9" s="5">
        <f>IF(AND(L9&lt;=Inputs!$B$11,K9&gt;=Inputs!$B$28),1,0)</f>
        <v>1</v>
      </c>
      <c r="N9" s="5">
        <f>IF(AND(L9&lt;=Inputs!$B$12,K9&gt;=Inputs!$B$28),1,0)</f>
        <v>1</v>
      </c>
      <c r="O9" s="20">
        <f>C9/(Inputs!$B$25*D9^2/(2*PI()))</f>
        <v>6.2547636611035313E-3</v>
      </c>
      <c r="P9" s="7">
        <f>Inputs!$B$20*60/SQRT(Inputs!$B$4)+1</f>
        <v>26.45584412271571</v>
      </c>
      <c r="Q9" s="4" t="s">
        <v>161</v>
      </c>
    </row>
    <row r="10" spans="1:17" x14ac:dyDescent="0.35">
      <c r="A10" s="18" t="s">
        <v>162</v>
      </c>
      <c r="B10" s="18" t="s">
        <v>163</v>
      </c>
      <c r="C10" s="21">
        <v>3</v>
      </c>
      <c r="D10" s="21">
        <v>20</v>
      </c>
      <c r="E10" s="21">
        <v>5</v>
      </c>
      <c r="F10" s="18" t="s">
        <v>148</v>
      </c>
      <c r="G10" s="18">
        <v>1</v>
      </c>
      <c r="H10" s="18" t="s">
        <v>127</v>
      </c>
      <c r="I10" s="18" t="s">
        <v>128</v>
      </c>
      <c r="J10" s="20">
        <f>C10/Inputs!$B$4</f>
        <v>0.06</v>
      </c>
      <c r="K10" s="19">
        <f>D10/SQRT(Inputs!$B$4)</f>
        <v>2.8284271247461898</v>
      </c>
      <c r="L10" s="20">
        <f t="shared" si="0"/>
        <v>0.1116</v>
      </c>
      <c r="M10" s="5">
        <f>IF(AND(L10&lt;=Inputs!$B$11,K10&gt;=Inputs!$B$28),1,0)</f>
        <v>1</v>
      </c>
      <c r="N10" s="5">
        <f>IF(AND(L10&lt;=Inputs!$B$12,K10&gt;=Inputs!$B$28),1,0)</f>
        <v>1</v>
      </c>
      <c r="O10" s="20">
        <f>C10/(Inputs!$B$25*D10^2/(2*PI()))</f>
        <v>4.8036584917275126E-3</v>
      </c>
      <c r="P10" s="7">
        <f>Inputs!$B$20*60/SQRT(Inputs!$B$4)+1</f>
        <v>26.45584412271571</v>
      </c>
      <c r="Q10" s="4" t="s">
        <v>164</v>
      </c>
    </row>
    <row r="11" spans="1:17" x14ac:dyDescent="0.35">
      <c r="A11" s="18" t="s">
        <v>165</v>
      </c>
      <c r="B11" s="18" t="s">
        <v>166</v>
      </c>
      <c r="C11" s="21">
        <v>6</v>
      </c>
      <c r="D11" s="21">
        <v>13</v>
      </c>
      <c r="E11" s="21">
        <v>3.3</v>
      </c>
      <c r="F11" s="18" t="s">
        <v>148</v>
      </c>
      <c r="G11" s="18">
        <v>2</v>
      </c>
      <c r="H11" s="18" t="s">
        <v>127</v>
      </c>
      <c r="I11" s="18" t="s">
        <v>128</v>
      </c>
      <c r="J11" s="20">
        <f>C11/Inputs!$B$4</f>
        <v>0.12</v>
      </c>
      <c r="K11" s="19">
        <f>D11/SQRT(Inputs!$B$4)</f>
        <v>1.8384776310850235</v>
      </c>
      <c r="L11" s="20">
        <f t="shared" si="0"/>
        <v>0.22320000000000001</v>
      </c>
      <c r="M11" s="5">
        <f>IF(AND(L11&lt;=Inputs!$B$11,K11&gt;=Inputs!$B$28),1,0)</f>
        <v>1</v>
      </c>
      <c r="N11" s="5">
        <f>IF(AND(L11&lt;=Inputs!$B$12,K11&gt;=Inputs!$B$28),1,0)</f>
        <v>1</v>
      </c>
      <c r="O11" s="20">
        <f>C11/(Inputs!$B$25*D11^2/(2*PI()))</f>
        <v>2.2739211795159819E-2</v>
      </c>
      <c r="P11" s="7">
        <f>Inputs!$B$20*60/SQRT(Inputs!$B$4)+1</f>
        <v>26.45584412271571</v>
      </c>
      <c r="Q11" s="4" t="s">
        <v>167</v>
      </c>
    </row>
    <row r="12" spans="1:17" x14ac:dyDescent="0.35">
      <c r="A12" s="18" t="s">
        <v>168</v>
      </c>
      <c r="B12" s="18" t="s">
        <v>169</v>
      </c>
      <c r="C12" s="21">
        <v>10</v>
      </c>
      <c r="D12" s="21">
        <v>15</v>
      </c>
      <c r="E12" s="21">
        <v>2</v>
      </c>
      <c r="F12" s="18" t="s">
        <v>148</v>
      </c>
      <c r="G12" s="18">
        <v>2</v>
      </c>
      <c r="H12" s="18" t="s">
        <v>127</v>
      </c>
      <c r="I12" s="18" t="s">
        <v>128</v>
      </c>
      <c r="J12" s="20">
        <f>C12/Inputs!$B$4</f>
        <v>0.2</v>
      </c>
      <c r="K12" s="19">
        <f>D12/SQRT(Inputs!$B$4)</f>
        <v>2.1213203435596424</v>
      </c>
      <c r="L12" s="20">
        <f t="shared" si="0"/>
        <v>0.37200000000000005</v>
      </c>
      <c r="M12" s="5">
        <f>IF(AND(L12&lt;=Inputs!$B$11,K12&gt;=Inputs!$B$28),1,0)</f>
        <v>1</v>
      </c>
      <c r="N12" s="5">
        <f>IF(AND(L12&lt;=Inputs!$B$12,K12&gt;=Inputs!$B$28),1,0)</f>
        <v>1</v>
      </c>
      <c r="O12" s="20">
        <f>C12/(Inputs!$B$25*D12^2/(2*PI()))</f>
        <v>2.8466124395422298E-2</v>
      </c>
      <c r="P12" s="7">
        <f>Inputs!$B$20*60/SQRT(Inputs!$B$4)+1</f>
        <v>26.45584412271571</v>
      </c>
      <c r="Q12" s="4" t="s">
        <v>170</v>
      </c>
    </row>
    <row r="13" spans="1:17" x14ac:dyDescent="0.35">
      <c r="A13" s="18" t="s">
        <v>171</v>
      </c>
      <c r="B13" s="18" t="s">
        <v>172</v>
      </c>
      <c r="C13" s="21">
        <v>12.4</v>
      </c>
      <c r="D13" s="21">
        <v>16</v>
      </c>
      <c r="E13" s="21">
        <v>2</v>
      </c>
      <c r="F13" s="18" t="s">
        <v>148</v>
      </c>
      <c r="G13" s="18">
        <v>2</v>
      </c>
      <c r="H13" s="18" t="s">
        <v>127</v>
      </c>
      <c r="I13" s="18" t="s">
        <v>128</v>
      </c>
      <c r="J13" s="20">
        <f>C13/Inputs!$B$4</f>
        <v>0.248</v>
      </c>
      <c r="K13" s="19">
        <f>D13/SQRT(Inputs!$B$4)</f>
        <v>2.2627416997969521</v>
      </c>
      <c r="L13" s="20">
        <f t="shared" si="0"/>
        <v>0.46128000000000002</v>
      </c>
      <c r="M13" s="5">
        <f>IF(AND(L13&lt;=Inputs!$B$11,K13&gt;=Inputs!$B$28),1,0)</f>
        <v>1</v>
      </c>
      <c r="N13" s="5">
        <f>IF(AND(L13&lt;=Inputs!$B$12,K13&gt;=Inputs!$B$28),1,0)</f>
        <v>1</v>
      </c>
      <c r="O13" s="20">
        <f>C13/(Inputs!$B$25*D13^2/(2*PI()))</f>
        <v>3.1023627759073517E-2</v>
      </c>
      <c r="P13" s="7">
        <f>Inputs!$B$20*60/SQRT(Inputs!$B$4)+1</f>
        <v>26.45584412271571</v>
      </c>
      <c r="Q13" s="4" t="s">
        <v>173</v>
      </c>
    </row>
    <row r="14" spans="1:17" x14ac:dyDescent="0.35">
      <c r="A14" s="18" t="s">
        <v>174</v>
      </c>
      <c r="B14" s="18" t="s">
        <v>175</v>
      </c>
      <c r="C14" s="21">
        <v>14.3</v>
      </c>
      <c r="D14" s="21">
        <v>17</v>
      </c>
      <c r="E14" s="21">
        <v>2</v>
      </c>
      <c r="F14" s="18" t="s">
        <v>148</v>
      </c>
      <c r="G14" s="18">
        <v>3</v>
      </c>
      <c r="H14" s="18" t="s">
        <v>127</v>
      </c>
      <c r="I14" s="18" t="s">
        <v>127</v>
      </c>
      <c r="J14" s="20">
        <f>C14/Inputs!$B$4</f>
        <v>0.28600000000000003</v>
      </c>
      <c r="K14" s="19">
        <f>D14/SQRT(Inputs!$B$4)</f>
        <v>2.4041630560342613</v>
      </c>
      <c r="L14" s="20">
        <f t="shared" si="0"/>
        <v>0.5319600000000001</v>
      </c>
      <c r="M14" s="5">
        <f>IF(AND(L14&lt;=Inputs!$B$11,K14&gt;=Inputs!$B$28),1,0)</f>
        <v>1</v>
      </c>
      <c r="N14" s="5">
        <f>IF(AND(L14&lt;=Inputs!$B$12,K14&gt;=Inputs!$B$28),1,0)</f>
        <v>1</v>
      </c>
      <c r="O14" s="20">
        <f>C14/(Inputs!$B$25*D14^2/(2*PI()))</f>
        <v>3.1691956831235719E-2</v>
      </c>
      <c r="P14" s="7">
        <f>Inputs!$B$20*60/SQRT(Inputs!$B$4)+1</f>
        <v>26.45584412271571</v>
      </c>
      <c r="Q14" s="4" t="s">
        <v>176</v>
      </c>
    </row>
    <row r="15" spans="1:17" x14ac:dyDescent="0.35">
      <c r="A15" s="18" t="s">
        <v>177</v>
      </c>
      <c r="B15" s="18" t="s">
        <v>178</v>
      </c>
      <c r="C15" s="21">
        <v>15</v>
      </c>
      <c r="D15" s="21">
        <v>17</v>
      </c>
      <c r="E15" s="21">
        <v>2</v>
      </c>
      <c r="F15" s="18" t="s">
        <v>148</v>
      </c>
      <c r="G15" s="18">
        <v>3</v>
      </c>
      <c r="H15" s="18" t="s">
        <v>127</v>
      </c>
      <c r="I15" s="18" t="s">
        <v>128</v>
      </c>
      <c r="J15" s="20">
        <f>C15/Inputs!$B$4</f>
        <v>0.3</v>
      </c>
      <c r="K15" s="19">
        <f>D15/SQRT(Inputs!$B$4)</f>
        <v>2.4041630560342613</v>
      </c>
      <c r="L15" s="20">
        <f t="shared" si="0"/>
        <v>0.55800000000000005</v>
      </c>
      <c r="M15" s="5">
        <f>IF(AND(L15&lt;=Inputs!$B$11,K15&gt;=Inputs!$B$28),1,0)</f>
        <v>1</v>
      </c>
      <c r="N15" s="5">
        <f>IF(AND(L15&lt;=Inputs!$B$12,K15&gt;=Inputs!$B$28),1,0)</f>
        <v>1</v>
      </c>
      <c r="O15" s="20">
        <f>C15/(Inputs!$B$25*D15^2/(2*PI()))</f>
        <v>3.3243311361436073E-2</v>
      </c>
      <c r="P15" s="7">
        <f>Inputs!$B$20*60/SQRT(Inputs!$B$4)+1</f>
        <v>26.45584412271571</v>
      </c>
      <c r="Q15" s="4" t="s">
        <v>179</v>
      </c>
    </row>
    <row r="16" spans="1:17" x14ac:dyDescent="0.35">
      <c r="A16" s="18" t="s">
        <v>180</v>
      </c>
      <c r="B16" s="18" t="s">
        <v>181</v>
      </c>
      <c r="C16" s="21">
        <v>15</v>
      </c>
      <c r="D16" s="21">
        <v>19</v>
      </c>
      <c r="E16" s="21">
        <v>2</v>
      </c>
      <c r="F16" s="18" t="s">
        <v>148</v>
      </c>
      <c r="G16" s="18">
        <v>2</v>
      </c>
      <c r="H16" s="18" t="s">
        <v>127</v>
      </c>
      <c r="I16" s="18" t="s">
        <v>128</v>
      </c>
      <c r="J16" s="20">
        <f>C16/Inputs!$B$4</f>
        <v>0.3</v>
      </c>
      <c r="K16" s="19">
        <f>D16/SQRT(Inputs!$B$4)</f>
        <v>2.6870057685088806</v>
      </c>
      <c r="L16" s="20">
        <f t="shared" si="0"/>
        <v>0.55800000000000005</v>
      </c>
      <c r="M16" s="5">
        <f>IF(AND(L16&lt;=Inputs!$B$11,K16&gt;=Inputs!$B$28),1,0)</f>
        <v>1</v>
      </c>
      <c r="N16" s="5">
        <f>IF(AND(L16&lt;=Inputs!$B$12,K16&gt;=Inputs!$B$28),1,0)</f>
        <v>1</v>
      </c>
      <c r="O16" s="20">
        <f>C16/(Inputs!$B$25*D16^2/(2*PI()))</f>
        <v>2.6613066436163502E-2</v>
      </c>
      <c r="P16" s="7">
        <f>Inputs!$B$20*60/SQRT(Inputs!$B$4)+1</f>
        <v>26.45584412271571</v>
      </c>
      <c r="Q16" s="4" t="s">
        <v>182</v>
      </c>
    </row>
    <row r="17" spans="1:17" x14ac:dyDescent="0.35">
      <c r="A17" s="18" t="s">
        <v>183</v>
      </c>
      <c r="B17" s="18" t="s">
        <v>184</v>
      </c>
      <c r="C17" s="21">
        <v>3.7</v>
      </c>
      <c r="D17" s="21">
        <v>12.5</v>
      </c>
      <c r="E17" s="21">
        <v>3.3</v>
      </c>
      <c r="F17" s="18" t="s">
        <v>185</v>
      </c>
      <c r="G17" s="18">
        <v>1</v>
      </c>
      <c r="H17" s="18" t="s">
        <v>128</v>
      </c>
      <c r="I17" s="18" t="s">
        <v>128</v>
      </c>
      <c r="J17" s="20">
        <f>C17/Inputs!$B$4</f>
        <v>7.400000000000001E-2</v>
      </c>
      <c r="K17" s="19">
        <f>D17/SQRT(Inputs!$B$4)</f>
        <v>1.7677669529663687</v>
      </c>
      <c r="L17" s="20">
        <f t="shared" si="0"/>
        <v>0.13764000000000004</v>
      </c>
      <c r="M17" s="5">
        <f>IF(AND(L17&lt;=Inputs!$B$11,K17&gt;=Inputs!$B$28),1,0)</f>
        <v>1</v>
      </c>
      <c r="N17" s="5">
        <f>IF(AND(L17&lt;=Inputs!$B$12,K17&gt;=Inputs!$B$28),1,0)</f>
        <v>1</v>
      </c>
      <c r="O17" s="20">
        <f>C17/(Inputs!$B$25*D17^2/(2*PI()))</f>
        <v>1.5166751077880999E-2</v>
      </c>
      <c r="P17" s="7">
        <f>Inputs!$B$20*60/SQRT(Inputs!$B$4)+1</f>
        <v>26.45584412271571</v>
      </c>
      <c r="Q17" s="4" t="s">
        <v>186</v>
      </c>
    </row>
    <row r="18" spans="1:17" x14ac:dyDescent="0.35">
      <c r="A18" s="18" t="s">
        <v>187</v>
      </c>
      <c r="B18" s="18" t="s">
        <v>188</v>
      </c>
      <c r="C18" s="21">
        <v>12.4</v>
      </c>
      <c r="D18" s="21">
        <v>16</v>
      </c>
      <c r="E18" s="21">
        <v>2</v>
      </c>
      <c r="F18" s="18" t="s">
        <v>185</v>
      </c>
      <c r="G18" s="18">
        <v>2</v>
      </c>
      <c r="H18" s="18" t="s">
        <v>128</v>
      </c>
      <c r="I18" s="18" t="s">
        <v>128</v>
      </c>
      <c r="J18" s="20">
        <f>C18/Inputs!$B$4</f>
        <v>0.248</v>
      </c>
      <c r="K18" s="19">
        <f>D18/SQRT(Inputs!$B$4)</f>
        <v>2.2627416997969521</v>
      </c>
      <c r="L18" s="20">
        <f t="shared" si="0"/>
        <v>0.46128000000000002</v>
      </c>
      <c r="M18" s="5">
        <f>IF(AND(L18&lt;=Inputs!$B$11,K18&gt;=Inputs!$B$28),1,0)</f>
        <v>1</v>
      </c>
      <c r="N18" s="5">
        <f>IF(AND(L18&lt;=Inputs!$B$12,K18&gt;=Inputs!$B$28),1,0)</f>
        <v>1</v>
      </c>
      <c r="O18" s="20">
        <f>C18/(Inputs!$B$25*D18^2/(2*PI()))</f>
        <v>3.1023627759073517E-2</v>
      </c>
      <c r="P18" s="7">
        <f>Inputs!$B$20*60/SQRT(Inputs!$B$4)+1</f>
        <v>26.45584412271571</v>
      </c>
      <c r="Q18" s="4" t="s">
        <v>189</v>
      </c>
    </row>
    <row r="20" spans="1:17" x14ac:dyDescent="0.35">
      <c r="A20" s="2" t="s">
        <v>190</v>
      </c>
    </row>
    <row r="21" spans="1:17" x14ac:dyDescent="0.35">
      <c r="A21" s="2" t="s">
        <v>191</v>
      </c>
    </row>
    <row r="22" spans="1:17" x14ac:dyDescent="0.35">
      <c r="A22" s="2" t="s">
        <v>192</v>
      </c>
    </row>
  </sheetData>
  <dataValidations count="1">
    <dataValidation type="list" sqref="H5:I18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7" customWidth="1"/>
    <col min="2" max="2" width="9" customWidth="1"/>
    <col min="3" max="3" width="42" customWidth="1"/>
    <col min="4" max="4" width="10" customWidth="1"/>
    <col min="5" max="5" width="9" customWidth="1"/>
    <col min="6" max="7" width="10" customWidth="1"/>
    <col min="8" max="10" width="8" customWidth="1"/>
    <col min="11" max="12" width="9" customWidth="1"/>
    <col min="13" max="13" width="8" customWidth="1"/>
    <col min="14" max="14" width="9" customWidth="1"/>
    <col min="15" max="15" width="70" customWidth="1"/>
  </cols>
  <sheetData>
    <row r="1" spans="1:15" ht="17.649999999999999" customHeight="1" x14ac:dyDescent="0.4">
      <c r="A1" s="1" t="s">
        <v>193</v>
      </c>
    </row>
    <row r="2" spans="1:15" x14ac:dyDescent="0.35">
      <c r="A2" s="2" t="s">
        <v>194</v>
      </c>
    </row>
    <row r="4" spans="1:15" ht="42" customHeight="1" x14ac:dyDescent="0.35">
      <c r="A4" s="3" t="s">
        <v>2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7</v>
      </c>
      <c r="J4" s="3" t="s">
        <v>4</v>
      </c>
      <c r="K4" s="3" t="s">
        <v>5</v>
      </c>
      <c r="L4" s="3" t="s">
        <v>6</v>
      </c>
      <c r="M4" s="3" t="s">
        <v>8</v>
      </c>
      <c r="N4" s="3" t="s">
        <v>9</v>
      </c>
      <c r="O4" s="3" t="s">
        <v>202</v>
      </c>
    </row>
    <row r="5" spans="1:15" x14ac:dyDescent="0.35">
      <c r="A5" s="18">
        <v>1</v>
      </c>
      <c r="B5" s="18" t="s">
        <v>203</v>
      </c>
      <c r="C5" s="18" t="s">
        <v>204</v>
      </c>
      <c r="D5" s="18" t="s">
        <v>205</v>
      </c>
      <c r="E5" s="18">
        <v>1</v>
      </c>
      <c r="F5" s="18" t="s">
        <v>206</v>
      </c>
      <c r="G5" s="18" t="s">
        <v>206</v>
      </c>
      <c r="H5" s="18">
        <v>3</v>
      </c>
      <c r="I5" s="18">
        <v>0</v>
      </c>
      <c r="J5" s="5">
        <f>H5*Inputs!$B$22</f>
        <v>9</v>
      </c>
      <c r="K5" s="5">
        <f>IF(F5="None",0,E5*SUMPRODUCT((IF(F5="Full",Regular_Waves!$Q$5:$Q$26,Regular_Waves!$R$5:$R$26)="Y")*IF(D5="LWF",Regular_Waves!$O$5:$O$26,Regular_Waves!$P$5:$P$26)))</f>
        <v>57</v>
      </c>
      <c r="L5" s="5">
        <f>IF(G5="None",0,E5*SUMPRODUCT((IF(G5="Full",Irregular_Seas!$H$5:$H$18,Irregular_Seas!$I$5:$I$18)="Y")*IF(D5="LWF",Irregular_Seas!$M$5:$M$18,Irregular_Seas!$N$5:$N$18)*Irregular_Seas!$G$5:$G$18))</f>
        <v>20</v>
      </c>
      <c r="M5" s="5">
        <f t="shared" ref="M5:M19" si="0">J5+K5+L5+I5</f>
        <v>86</v>
      </c>
      <c r="N5" s="7">
        <f>(J5*(Inputs!$B$21+IF(D5="LWF",Inputs!$B$18,Inputs!$B$19))+I5*(Inputs!$B$23+IF(D5="LWF",Inputs!$B$18,Inputs!$B$19))+IF(F5="None",0,E5*SUMPRODUCT((IF(F5="Full",Regular_Waves!$Q$5:$Q$26,Regular_Waves!$R$5:$R$26)="Y")*IF(D5="LWF",Regular_Waves!$O$5:$O$26,Regular_Waves!$P$5:$P$26)*(Regular_Waves!$S$5:$S$26+IF(D5="LWF",Inputs!$B$18,Inputs!$B$19))))+IF(G5="None",0,E5*SUMPRODUCT((IF(G5="Full",Irregular_Seas!$H$5:$H$18,Irregular_Seas!$I$5:$I$18)="Y")*IF(D5="LWF",Irregular_Seas!$M$5:$M$18,Irregular_Seas!$N$5:$N$18)*Irregular_Seas!$G$5:$G$18*(Irregular_Seas!$P$5:$P$18+IF(D5="LWF",Inputs!$B$18,Inputs!$B$19)))))/60</f>
        <v>19.45350323468897</v>
      </c>
      <c r="O5" s="4" t="s">
        <v>207</v>
      </c>
    </row>
    <row r="6" spans="1:15" x14ac:dyDescent="0.35">
      <c r="A6" s="18">
        <v>1</v>
      </c>
      <c r="B6" s="18" t="s">
        <v>208</v>
      </c>
      <c r="C6" s="18" t="s">
        <v>209</v>
      </c>
      <c r="D6" s="18" t="s">
        <v>205</v>
      </c>
      <c r="E6" s="18">
        <v>1</v>
      </c>
      <c r="F6" s="18" t="s">
        <v>210</v>
      </c>
      <c r="G6" s="18" t="s">
        <v>210</v>
      </c>
      <c r="H6" s="18">
        <v>3</v>
      </c>
      <c r="I6" s="18">
        <v>0</v>
      </c>
      <c r="J6" s="5">
        <f>H6*Inputs!$B$22</f>
        <v>9</v>
      </c>
      <c r="K6" s="5">
        <f>IF(F6="None",0,E6*SUMPRODUCT((IF(F6="Full",Regular_Waves!$Q$5:$Q$26,Regular_Waves!$R$5:$R$26)="Y")*IF(D6="LWF",Regular_Waves!$O$5:$O$26,Regular_Waves!$P$5:$P$26)))</f>
        <v>18</v>
      </c>
      <c r="L6" s="5">
        <f>IF(G6="None",0,E6*SUMPRODUCT((IF(G6="Full",Irregular_Seas!$H$5:$H$18,Irregular_Seas!$I$5:$I$18)="Y")*IF(D6="LWF",Irregular_Seas!$M$5:$M$18,Irregular_Seas!$N$5:$N$18)*Irregular_Seas!$G$5:$G$18))</f>
        <v>5</v>
      </c>
      <c r="M6" s="5">
        <f t="shared" si="0"/>
        <v>32</v>
      </c>
      <c r="N6" s="7">
        <f>(J6*(Inputs!$B$21+IF(D6="LWF",Inputs!$B$18,Inputs!$B$19))+I6*(Inputs!$B$23+IF(D6="LWF",Inputs!$B$18,Inputs!$B$19))+IF(F6="None",0,E6*SUMPRODUCT((IF(F6="Full",Regular_Waves!$Q$5:$Q$26,Regular_Waves!$R$5:$R$26)="Y")*IF(D6="LWF",Regular_Waves!$O$5:$O$26,Regular_Waves!$P$5:$P$26)*(Regular_Waves!$S$5:$S$26+IF(D6="LWF",Inputs!$B$18,Inputs!$B$19))))+IF(G6="None",0,E6*SUMPRODUCT((IF(G6="Full",Irregular_Seas!$H$5:$H$18,Irregular_Seas!$I$5:$I$18)="Y")*IF(D6="LWF",Irregular_Seas!$M$5:$M$18,Irregular_Seas!$N$5:$N$18)*Irregular_Seas!$G$5:$G$18*(Irregular_Seas!$P$5:$P$18+IF(D6="LWF",Inputs!$B$18,Inputs!$B$19)))))/60</f>
        <v>6.2521410503082677</v>
      </c>
      <c r="O6" s="4" t="s">
        <v>211</v>
      </c>
    </row>
    <row r="7" spans="1:15" x14ac:dyDescent="0.35">
      <c r="A7" s="18">
        <v>1</v>
      </c>
      <c r="B7" s="18" t="s">
        <v>212</v>
      </c>
      <c r="C7" s="18" t="s">
        <v>213</v>
      </c>
      <c r="D7" s="18" t="s">
        <v>205</v>
      </c>
      <c r="E7" s="18">
        <v>1</v>
      </c>
      <c r="F7" s="18" t="s">
        <v>210</v>
      </c>
      <c r="G7" s="18" t="s">
        <v>214</v>
      </c>
      <c r="H7" s="18">
        <v>3</v>
      </c>
      <c r="I7" s="18">
        <v>12</v>
      </c>
      <c r="J7" s="5">
        <f>H7*Inputs!$B$22</f>
        <v>9</v>
      </c>
      <c r="K7" s="5">
        <f>IF(F7="None",0,E7*SUMPRODUCT((IF(F7="Full",Regular_Waves!$Q$5:$Q$26,Regular_Waves!$R$5:$R$26)="Y")*IF(D7="LWF",Regular_Waves!$O$5:$O$26,Regular_Waves!$P$5:$P$26)))</f>
        <v>18</v>
      </c>
      <c r="L7" s="5">
        <f>IF(G7="None",0,E7*SUMPRODUCT((IF(G7="Full",Irregular_Seas!$H$5:$H$18,Irregular_Seas!$I$5:$I$18)="Y")*IF(D7="LWF",Irregular_Seas!$M$5:$M$18,Irregular_Seas!$N$5:$N$18)*Irregular_Seas!$G$5:$G$18))</f>
        <v>0</v>
      </c>
      <c r="M7" s="5">
        <f t="shared" si="0"/>
        <v>39</v>
      </c>
      <c r="N7" s="7">
        <f>(J7*(Inputs!$B$21+IF(D7="LWF",Inputs!$B$18,Inputs!$B$19))+I7*(Inputs!$B$23+IF(D7="LWF",Inputs!$B$18,Inputs!$B$19))+IF(F7="None",0,E7*SUMPRODUCT((IF(F7="Full",Regular_Waves!$Q$5:$Q$26,Regular_Waves!$R$5:$R$26)="Y")*IF(D7="LWF",Regular_Waves!$O$5:$O$26,Regular_Waves!$P$5:$P$26)*(Regular_Waves!$S$5:$S$26+IF(D7="LWF",Inputs!$B$18,Inputs!$B$19))))+IF(G7="None",0,E7*SUMPRODUCT((IF(G7="Full",Irregular_Seas!$H$5:$H$18,Irregular_Seas!$I$5:$I$18)="Y")*IF(D7="LWF",Irregular_Seas!$M$5:$M$18,Irregular_Seas!$N$5:$N$18)*Irregular_Seas!$G$5:$G$18*(Irregular_Seas!$P$5:$P$18+IF(D7="LWF",Inputs!$B$18,Inputs!$B$19)))))/60</f>
        <v>5.747487373415292</v>
      </c>
      <c r="O7" s="4" t="s">
        <v>215</v>
      </c>
    </row>
    <row r="8" spans="1:15" x14ac:dyDescent="0.35">
      <c r="A8" s="18">
        <v>1</v>
      </c>
      <c r="B8" s="18" t="s">
        <v>216</v>
      </c>
      <c r="C8" s="18" t="s">
        <v>217</v>
      </c>
      <c r="D8" s="18" t="s">
        <v>205</v>
      </c>
      <c r="E8" s="18">
        <v>1</v>
      </c>
      <c r="F8" s="18" t="s">
        <v>214</v>
      </c>
      <c r="G8" s="18" t="s">
        <v>214</v>
      </c>
      <c r="H8" s="18">
        <v>0</v>
      </c>
      <c r="I8" s="18">
        <v>9</v>
      </c>
      <c r="J8" s="5">
        <f>H8*Inputs!$B$22</f>
        <v>0</v>
      </c>
      <c r="K8" s="5">
        <f>IF(F8="None",0,E8*SUMPRODUCT((IF(F8="Full",Regular_Waves!$Q$5:$Q$26,Regular_Waves!$R$5:$R$26)="Y")*IF(D8="LWF",Regular_Waves!$O$5:$O$26,Regular_Waves!$P$5:$P$26)))</f>
        <v>0</v>
      </c>
      <c r="L8" s="5">
        <f>IF(G8="None",0,E8*SUMPRODUCT((IF(G8="Full",Irregular_Seas!$H$5:$H$18,Irregular_Seas!$I$5:$I$18)="Y")*IF(D8="LWF",Irregular_Seas!$M$5:$M$18,Irregular_Seas!$N$5:$N$18)*Irregular_Seas!$G$5:$G$18))</f>
        <v>0</v>
      </c>
      <c r="M8" s="5">
        <f t="shared" si="0"/>
        <v>9</v>
      </c>
      <c r="N8" s="7">
        <f>(J8*(Inputs!$B$21+IF(D8="LWF",Inputs!$B$18,Inputs!$B$19))+I8*(Inputs!$B$23+IF(D8="LWF",Inputs!$B$18,Inputs!$B$19))+IF(F8="None",0,E8*SUMPRODUCT((IF(F8="Full",Regular_Waves!$Q$5:$Q$26,Regular_Waves!$R$5:$R$26)="Y")*IF(D8="LWF",Regular_Waves!$O$5:$O$26,Regular_Waves!$P$5:$P$26)*(Regular_Waves!$S$5:$S$26+IF(D8="LWF",Inputs!$B$18,Inputs!$B$19))))+IF(G8="None",0,E8*SUMPRODUCT((IF(G8="Full",Irregular_Seas!$H$5:$H$18,Irregular_Seas!$I$5:$I$18)="Y")*IF(D8="LWF",Irregular_Seas!$M$5:$M$18,Irregular_Seas!$N$5:$N$18)*Irregular_Seas!$G$5:$G$18*(Irregular_Seas!$P$5:$P$18+IF(D8="LWF",Inputs!$B$18,Inputs!$B$19)))))/60</f>
        <v>1.65</v>
      </c>
      <c r="O8" s="4" t="s">
        <v>218</v>
      </c>
    </row>
    <row r="9" spans="1:15" x14ac:dyDescent="0.35">
      <c r="A9" s="18">
        <v>1</v>
      </c>
      <c r="B9" s="18" t="s">
        <v>219</v>
      </c>
      <c r="C9" s="18" t="s">
        <v>220</v>
      </c>
      <c r="D9" s="18" t="s">
        <v>205</v>
      </c>
      <c r="E9" s="18">
        <v>1</v>
      </c>
      <c r="F9" s="18" t="s">
        <v>210</v>
      </c>
      <c r="G9" s="18" t="s">
        <v>210</v>
      </c>
      <c r="H9" s="18">
        <v>1</v>
      </c>
      <c r="I9" s="18">
        <v>0</v>
      </c>
      <c r="J9" s="5">
        <f>H9*Inputs!$B$22</f>
        <v>3</v>
      </c>
      <c r="K9" s="5">
        <f>IF(F9="None",0,E9*SUMPRODUCT((IF(F9="Full",Regular_Waves!$Q$5:$Q$26,Regular_Waves!$R$5:$R$26)="Y")*IF(D9="LWF",Regular_Waves!$O$5:$O$26,Regular_Waves!$P$5:$P$26)))</f>
        <v>18</v>
      </c>
      <c r="L9" s="5">
        <f>IF(G9="None",0,E9*SUMPRODUCT((IF(G9="Full",Irregular_Seas!$H$5:$H$18,Irregular_Seas!$I$5:$I$18)="Y")*IF(D9="LWF",Irregular_Seas!$M$5:$M$18,Irregular_Seas!$N$5:$N$18)*Irregular_Seas!$G$5:$G$18))</f>
        <v>5</v>
      </c>
      <c r="M9" s="5">
        <f t="shared" si="0"/>
        <v>26</v>
      </c>
      <c r="N9" s="7">
        <f>(J9*(Inputs!$B$21+IF(D9="LWF",Inputs!$B$18,Inputs!$B$19))+I9*(Inputs!$B$23+IF(D9="LWF",Inputs!$B$18,Inputs!$B$19))+IF(F9="None",0,E9*SUMPRODUCT((IF(F9="Full",Regular_Waves!$Q$5:$Q$26,Regular_Waves!$R$5:$R$26)="Y")*IF(D9="LWF",Regular_Waves!$O$5:$O$26,Regular_Waves!$P$5:$P$26)*(Regular_Waves!$S$5:$S$26+IF(D9="LWF",Inputs!$B$18,Inputs!$B$19))))+IF(G9="None",0,E9*SUMPRODUCT((IF(G9="Full",Irregular_Seas!$H$5:$H$18,Irregular_Seas!$I$5:$I$18)="Y")*IF(D9="LWF",Irregular_Seas!$M$5:$M$18,Irregular_Seas!$N$5:$N$18)*Irregular_Seas!$G$5:$G$18*(Irregular_Seas!$P$5:$P$18+IF(D9="LWF",Inputs!$B$18,Inputs!$B$19)))))/60</f>
        <v>5.4521410503082679</v>
      </c>
      <c r="O9" s="4" t="s">
        <v>221</v>
      </c>
    </row>
    <row r="10" spans="1:15" x14ac:dyDescent="0.35">
      <c r="A10" s="18">
        <v>2</v>
      </c>
      <c r="B10" s="18" t="s">
        <v>222</v>
      </c>
      <c r="C10" s="18" t="s">
        <v>223</v>
      </c>
      <c r="D10" s="18" t="s">
        <v>205</v>
      </c>
      <c r="E10" s="18">
        <v>1</v>
      </c>
      <c r="F10" s="18" t="s">
        <v>206</v>
      </c>
      <c r="G10" s="18" t="s">
        <v>206</v>
      </c>
      <c r="H10" s="18">
        <v>4</v>
      </c>
      <c r="I10" s="18">
        <v>0</v>
      </c>
      <c r="J10" s="5">
        <f>H10*Inputs!$B$22</f>
        <v>12</v>
      </c>
      <c r="K10" s="5">
        <f>IF(F10="None",0,E10*SUMPRODUCT((IF(F10="Full",Regular_Waves!$Q$5:$Q$26,Regular_Waves!$R$5:$R$26)="Y")*IF(D10="LWF",Regular_Waves!$O$5:$O$26,Regular_Waves!$P$5:$P$26)))</f>
        <v>57</v>
      </c>
      <c r="L10" s="5">
        <f>IF(G10="None",0,E10*SUMPRODUCT((IF(G10="Full",Irregular_Seas!$H$5:$H$18,Irregular_Seas!$I$5:$I$18)="Y")*IF(D10="LWF",Irregular_Seas!$M$5:$M$18,Irregular_Seas!$N$5:$N$18)*Irregular_Seas!$G$5:$G$18))</f>
        <v>20</v>
      </c>
      <c r="M10" s="5">
        <f t="shared" si="0"/>
        <v>89</v>
      </c>
      <c r="N10" s="7">
        <f>(J10*(Inputs!$B$21+IF(D10="LWF",Inputs!$B$18,Inputs!$B$19))+I10*(Inputs!$B$23+IF(D10="LWF",Inputs!$B$18,Inputs!$B$19))+IF(F10="None",0,E10*SUMPRODUCT((IF(F10="Full",Regular_Waves!$Q$5:$Q$26,Regular_Waves!$R$5:$R$26)="Y")*IF(D10="LWF",Regular_Waves!$O$5:$O$26,Regular_Waves!$P$5:$P$26)*(Regular_Waves!$S$5:$S$26+IF(D10="LWF",Inputs!$B$18,Inputs!$B$19))))+IF(G10="None",0,E10*SUMPRODUCT((IF(G10="Full",Irregular_Seas!$H$5:$H$18,Irregular_Seas!$I$5:$I$18)="Y")*IF(D10="LWF",Irregular_Seas!$M$5:$M$18,Irregular_Seas!$N$5:$N$18)*Irregular_Seas!$G$5:$G$18*(Irregular_Seas!$P$5:$P$18+IF(D10="LWF",Inputs!$B$18,Inputs!$B$19)))))/60</f>
        <v>19.853503234688969</v>
      </c>
      <c r="O10" s="4" t="s">
        <v>224</v>
      </c>
    </row>
    <row r="11" spans="1:15" x14ac:dyDescent="0.35">
      <c r="A11" s="18">
        <v>2</v>
      </c>
      <c r="B11" s="18" t="s">
        <v>225</v>
      </c>
      <c r="C11" s="18" t="s">
        <v>226</v>
      </c>
      <c r="D11" s="18" t="s">
        <v>205</v>
      </c>
      <c r="E11" s="18">
        <v>1</v>
      </c>
      <c r="F11" s="18" t="s">
        <v>210</v>
      </c>
      <c r="G11" s="18" t="s">
        <v>210</v>
      </c>
      <c r="H11" s="18">
        <v>3</v>
      </c>
      <c r="I11" s="18">
        <v>0</v>
      </c>
      <c r="J11" s="5">
        <f>H11*Inputs!$B$22</f>
        <v>9</v>
      </c>
      <c r="K11" s="5">
        <f>IF(F11="None",0,E11*SUMPRODUCT((IF(F11="Full",Regular_Waves!$Q$5:$Q$26,Regular_Waves!$R$5:$R$26)="Y")*IF(D11="LWF",Regular_Waves!$O$5:$O$26,Regular_Waves!$P$5:$P$26)))</f>
        <v>18</v>
      </c>
      <c r="L11" s="5">
        <f>IF(G11="None",0,E11*SUMPRODUCT((IF(G11="Full",Irregular_Seas!$H$5:$H$18,Irregular_Seas!$I$5:$I$18)="Y")*IF(D11="LWF",Irregular_Seas!$M$5:$M$18,Irregular_Seas!$N$5:$N$18)*Irregular_Seas!$G$5:$G$18))</f>
        <v>5</v>
      </c>
      <c r="M11" s="5">
        <f t="shared" si="0"/>
        <v>32</v>
      </c>
      <c r="N11" s="7">
        <f>(J11*(Inputs!$B$21+IF(D11="LWF",Inputs!$B$18,Inputs!$B$19))+I11*(Inputs!$B$23+IF(D11="LWF",Inputs!$B$18,Inputs!$B$19))+IF(F11="None",0,E11*SUMPRODUCT((IF(F11="Full",Regular_Waves!$Q$5:$Q$26,Regular_Waves!$R$5:$R$26)="Y")*IF(D11="LWF",Regular_Waves!$O$5:$O$26,Regular_Waves!$P$5:$P$26)*(Regular_Waves!$S$5:$S$26+IF(D11="LWF",Inputs!$B$18,Inputs!$B$19))))+IF(G11="None",0,E11*SUMPRODUCT((IF(G11="Full",Irregular_Seas!$H$5:$H$18,Irregular_Seas!$I$5:$I$18)="Y")*IF(D11="LWF",Irregular_Seas!$M$5:$M$18,Irregular_Seas!$N$5:$N$18)*Irregular_Seas!$G$5:$G$18*(Irregular_Seas!$P$5:$P$18+IF(D11="LWF",Inputs!$B$18,Inputs!$B$19)))))/60</f>
        <v>6.2521410503082677</v>
      </c>
      <c r="O11" s="4"/>
    </row>
    <row r="12" spans="1:15" x14ac:dyDescent="0.35">
      <c r="A12" s="18">
        <v>2</v>
      </c>
      <c r="B12" s="18" t="s">
        <v>227</v>
      </c>
      <c r="C12" s="18" t="s">
        <v>228</v>
      </c>
      <c r="D12" s="18" t="s">
        <v>205</v>
      </c>
      <c r="E12" s="18">
        <v>1</v>
      </c>
      <c r="F12" s="18" t="s">
        <v>210</v>
      </c>
      <c r="G12" s="18" t="s">
        <v>214</v>
      </c>
      <c r="H12" s="18">
        <v>2</v>
      </c>
      <c r="I12" s="18">
        <v>12</v>
      </c>
      <c r="J12" s="5">
        <f>H12*Inputs!$B$22</f>
        <v>6</v>
      </c>
      <c r="K12" s="5">
        <f>IF(F12="None",0,E12*SUMPRODUCT((IF(F12="Full",Regular_Waves!$Q$5:$Q$26,Regular_Waves!$R$5:$R$26)="Y")*IF(D12="LWF",Regular_Waves!$O$5:$O$26,Regular_Waves!$P$5:$P$26)))</f>
        <v>18</v>
      </c>
      <c r="L12" s="5">
        <f>IF(G12="None",0,E12*SUMPRODUCT((IF(G12="Full",Irregular_Seas!$H$5:$H$18,Irregular_Seas!$I$5:$I$18)="Y")*IF(D12="LWF",Irregular_Seas!$M$5:$M$18,Irregular_Seas!$N$5:$N$18)*Irregular_Seas!$G$5:$G$18))</f>
        <v>0</v>
      </c>
      <c r="M12" s="5">
        <f t="shared" si="0"/>
        <v>36</v>
      </c>
      <c r="N12" s="7">
        <f>(J12*(Inputs!$B$21+IF(D12="LWF",Inputs!$B$18,Inputs!$B$19))+I12*(Inputs!$B$23+IF(D12="LWF",Inputs!$B$18,Inputs!$B$19))+IF(F12="None",0,E12*SUMPRODUCT((IF(F12="Full",Regular_Waves!$Q$5:$Q$26,Regular_Waves!$R$5:$R$26)="Y")*IF(D12="LWF",Regular_Waves!$O$5:$O$26,Regular_Waves!$P$5:$P$26)*(Regular_Waves!$S$5:$S$26+IF(D12="LWF",Inputs!$B$18,Inputs!$B$19))))+IF(G12="None",0,E12*SUMPRODUCT((IF(G12="Full",Irregular_Seas!$H$5:$H$18,Irregular_Seas!$I$5:$I$18)="Y")*IF(D12="LWF",Irregular_Seas!$M$5:$M$18,Irregular_Seas!$N$5:$N$18)*Irregular_Seas!$G$5:$G$18*(Irregular_Seas!$P$5:$P$18+IF(D12="LWF",Inputs!$B$18,Inputs!$B$19)))))/60</f>
        <v>5.3474873734152917</v>
      </c>
      <c r="O12" s="4" t="s">
        <v>229</v>
      </c>
    </row>
    <row r="13" spans="1:15" x14ac:dyDescent="0.35">
      <c r="A13" s="18">
        <v>2</v>
      </c>
      <c r="B13" s="18" t="s">
        <v>230</v>
      </c>
      <c r="C13" s="18" t="s">
        <v>231</v>
      </c>
      <c r="D13" s="18" t="s">
        <v>205</v>
      </c>
      <c r="E13" s="18">
        <v>1</v>
      </c>
      <c r="F13" s="18" t="s">
        <v>210</v>
      </c>
      <c r="G13" s="18" t="s">
        <v>210</v>
      </c>
      <c r="H13" s="18">
        <v>0</v>
      </c>
      <c r="I13" s="18">
        <v>0</v>
      </c>
      <c r="J13" s="5">
        <f>H13*Inputs!$B$22</f>
        <v>0</v>
      </c>
      <c r="K13" s="5">
        <f>IF(F13="None",0,E13*SUMPRODUCT((IF(F13="Full",Regular_Waves!$Q$5:$Q$26,Regular_Waves!$R$5:$R$26)="Y")*IF(D13="LWF",Regular_Waves!$O$5:$O$26,Regular_Waves!$P$5:$P$26)))</f>
        <v>18</v>
      </c>
      <c r="L13" s="5">
        <f>IF(G13="None",0,E13*SUMPRODUCT((IF(G13="Full",Irregular_Seas!$H$5:$H$18,Irregular_Seas!$I$5:$I$18)="Y")*IF(D13="LWF",Irregular_Seas!$M$5:$M$18,Irregular_Seas!$N$5:$N$18)*Irregular_Seas!$G$5:$G$18))</f>
        <v>5</v>
      </c>
      <c r="M13" s="5">
        <f t="shared" si="0"/>
        <v>23</v>
      </c>
      <c r="N13" s="7">
        <f>(J13*(Inputs!$B$21+IF(D13="LWF",Inputs!$B$18,Inputs!$B$19))+I13*(Inputs!$B$23+IF(D13="LWF",Inputs!$B$18,Inputs!$B$19))+IF(F13="None",0,E13*SUMPRODUCT((IF(F13="Full",Regular_Waves!$Q$5:$Q$26,Regular_Waves!$R$5:$R$26)="Y")*IF(D13="LWF",Regular_Waves!$O$5:$O$26,Regular_Waves!$P$5:$P$26)*(Regular_Waves!$S$5:$S$26+IF(D13="LWF",Inputs!$B$18,Inputs!$B$19))))+IF(G13="None",0,E13*SUMPRODUCT((IF(G13="Full",Irregular_Seas!$H$5:$H$18,Irregular_Seas!$I$5:$I$18)="Y")*IF(D13="LWF",Irregular_Seas!$M$5:$M$18,Irregular_Seas!$N$5:$N$18)*Irregular_Seas!$G$5:$G$18*(Irregular_Seas!$P$5:$P$18+IF(D13="LWF",Inputs!$B$18,Inputs!$B$19)))))/60</f>
        <v>5.0521410503082675</v>
      </c>
      <c r="O13" s="4" t="s">
        <v>232</v>
      </c>
    </row>
    <row r="14" spans="1:15" x14ac:dyDescent="0.35">
      <c r="A14" s="18">
        <v>3</v>
      </c>
      <c r="B14" s="18" t="s">
        <v>233</v>
      </c>
      <c r="C14" s="18" t="s">
        <v>234</v>
      </c>
      <c r="D14" s="18" t="s">
        <v>205</v>
      </c>
      <c r="E14" s="18">
        <v>1</v>
      </c>
      <c r="F14" s="18" t="s">
        <v>206</v>
      </c>
      <c r="G14" s="18" t="s">
        <v>206</v>
      </c>
      <c r="H14" s="18">
        <v>5</v>
      </c>
      <c r="I14" s="18">
        <v>0</v>
      </c>
      <c r="J14" s="5">
        <f>H14*Inputs!$B$22</f>
        <v>15</v>
      </c>
      <c r="K14" s="5">
        <f>IF(F14="None",0,E14*SUMPRODUCT((IF(F14="Full",Regular_Waves!$Q$5:$Q$26,Regular_Waves!$R$5:$R$26)="Y")*IF(D14="LWF",Regular_Waves!$O$5:$O$26,Regular_Waves!$P$5:$P$26)))</f>
        <v>57</v>
      </c>
      <c r="L14" s="5">
        <f>IF(G14="None",0,E14*SUMPRODUCT((IF(G14="Full",Irregular_Seas!$H$5:$H$18,Irregular_Seas!$I$5:$I$18)="Y")*IF(D14="LWF",Irregular_Seas!$M$5:$M$18,Irregular_Seas!$N$5:$N$18)*Irregular_Seas!$G$5:$G$18))</f>
        <v>20</v>
      </c>
      <c r="M14" s="5">
        <f t="shared" si="0"/>
        <v>92</v>
      </c>
      <c r="N14" s="7">
        <f>(J14*(Inputs!$B$21+IF(D14="LWF",Inputs!$B$18,Inputs!$B$19))+I14*(Inputs!$B$23+IF(D14="LWF",Inputs!$B$18,Inputs!$B$19))+IF(F14="None",0,E14*SUMPRODUCT((IF(F14="Full",Regular_Waves!$Q$5:$Q$26,Regular_Waves!$R$5:$R$26)="Y")*IF(D14="LWF",Regular_Waves!$O$5:$O$26,Regular_Waves!$P$5:$P$26)*(Regular_Waves!$S$5:$S$26+IF(D14="LWF",Inputs!$B$18,Inputs!$B$19))))+IF(G14="None",0,E14*SUMPRODUCT((IF(G14="Full",Irregular_Seas!$H$5:$H$18,Irregular_Seas!$I$5:$I$18)="Y")*IF(D14="LWF",Irregular_Seas!$M$5:$M$18,Irregular_Seas!$N$5:$N$18)*Irregular_Seas!$G$5:$G$18*(Irregular_Seas!$P$5:$P$18+IF(D14="LWF",Inputs!$B$18,Inputs!$B$19)))))/60</f>
        <v>20.253503234688971</v>
      </c>
      <c r="O14" s="4" t="s">
        <v>235</v>
      </c>
    </row>
    <row r="15" spans="1:15" x14ac:dyDescent="0.35">
      <c r="A15" s="18">
        <v>3</v>
      </c>
      <c r="B15" s="18" t="s">
        <v>236</v>
      </c>
      <c r="C15" s="18" t="s">
        <v>237</v>
      </c>
      <c r="D15" s="18" t="s">
        <v>205</v>
      </c>
      <c r="E15" s="18">
        <v>1</v>
      </c>
      <c r="F15" s="18" t="s">
        <v>210</v>
      </c>
      <c r="G15" s="18" t="s">
        <v>210</v>
      </c>
      <c r="H15" s="18">
        <v>1</v>
      </c>
      <c r="I15" s="18">
        <v>0</v>
      </c>
      <c r="J15" s="5">
        <f>H15*Inputs!$B$22</f>
        <v>3</v>
      </c>
      <c r="K15" s="5">
        <f>IF(F15="None",0,E15*SUMPRODUCT((IF(F15="Full",Regular_Waves!$Q$5:$Q$26,Regular_Waves!$R$5:$R$26)="Y")*IF(D15="LWF",Regular_Waves!$O$5:$O$26,Regular_Waves!$P$5:$P$26)))</f>
        <v>18</v>
      </c>
      <c r="L15" s="5">
        <f>IF(G15="None",0,E15*SUMPRODUCT((IF(G15="Full",Irregular_Seas!$H$5:$H$18,Irregular_Seas!$I$5:$I$18)="Y")*IF(D15="LWF",Irregular_Seas!$M$5:$M$18,Irregular_Seas!$N$5:$N$18)*Irregular_Seas!$G$5:$G$18))</f>
        <v>5</v>
      </c>
      <c r="M15" s="5">
        <f t="shared" si="0"/>
        <v>26</v>
      </c>
      <c r="N15" s="7">
        <f>(J15*(Inputs!$B$21+IF(D15="LWF",Inputs!$B$18,Inputs!$B$19))+I15*(Inputs!$B$23+IF(D15="LWF",Inputs!$B$18,Inputs!$B$19))+IF(F15="None",0,E15*SUMPRODUCT((IF(F15="Full",Regular_Waves!$Q$5:$Q$26,Regular_Waves!$R$5:$R$26)="Y")*IF(D15="LWF",Regular_Waves!$O$5:$O$26,Regular_Waves!$P$5:$P$26)*(Regular_Waves!$S$5:$S$26+IF(D15="LWF",Inputs!$B$18,Inputs!$B$19))))+IF(G15="None",0,E15*SUMPRODUCT((IF(G15="Full",Irregular_Seas!$H$5:$H$18,Irregular_Seas!$I$5:$I$18)="Y")*IF(D15="LWF",Irregular_Seas!$M$5:$M$18,Irregular_Seas!$N$5:$N$18)*Irregular_Seas!$G$5:$G$18*(Irregular_Seas!$P$5:$P$18+IF(D15="LWF",Inputs!$B$18,Inputs!$B$19)))))/60</f>
        <v>5.4521410503082679</v>
      </c>
      <c r="O15" s="4"/>
    </row>
    <row r="16" spans="1:15" x14ac:dyDescent="0.35">
      <c r="A16" s="18">
        <v>3</v>
      </c>
      <c r="B16" s="18" t="s">
        <v>238</v>
      </c>
      <c r="C16" s="18" t="s">
        <v>239</v>
      </c>
      <c r="D16" s="18" t="s">
        <v>205</v>
      </c>
      <c r="E16" s="18">
        <v>1</v>
      </c>
      <c r="F16" s="18" t="s">
        <v>210</v>
      </c>
      <c r="G16" s="18" t="s">
        <v>210</v>
      </c>
      <c r="H16" s="18">
        <v>3</v>
      </c>
      <c r="I16" s="18">
        <v>0</v>
      </c>
      <c r="J16" s="5">
        <f>H16*Inputs!$B$22</f>
        <v>9</v>
      </c>
      <c r="K16" s="5">
        <f>IF(F16="None",0,E16*SUMPRODUCT((IF(F16="Full",Regular_Waves!$Q$5:$Q$26,Regular_Waves!$R$5:$R$26)="Y")*IF(D16="LWF",Regular_Waves!$O$5:$O$26,Regular_Waves!$P$5:$P$26)))</f>
        <v>18</v>
      </c>
      <c r="L16" s="5">
        <f>IF(G16="None",0,E16*SUMPRODUCT((IF(G16="Full",Irregular_Seas!$H$5:$H$18,Irregular_Seas!$I$5:$I$18)="Y")*IF(D16="LWF",Irregular_Seas!$M$5:$M$18,Irregular_Seas!$N$5:$N$18)*Irregular_Seas!$G$5:$G$18))</f>
        <v>5</v>
      </c>
      <c r="M16" s="5">
        <f t="shared" si="0"/>
        <v>32</v>
      </c>
      <c r="N16" s="7">
        <f>(J16*(Inputs!$B$21+IF(D16="LWF",Inputs!$B$18,Inputs!$B$19))+I16*(Inputs!$B$23+IF(D16="LWF",Inputs!$B$18,Inputs!$B$19))+IF(F16="None",0,E16*SUMPRODUCT((IF(F16="Full",Regular_Waves!$Q$5:$Q$26,Regular_Waves!$R$5:$R$26)="Y")*IF(D16="LWF",Regular_Waves!$O$5:$O$26,Regular_Waves!$P$5:$P$26)*(Regular_Waves!$S$5:$S$26+IF(D16="LWF",Inputs!$B$18,Inputs!$B$19))))+IF(G16="None",0,E16*SUMPRODUCT((IF(G16="Full",Irregular_Seas!$H$5:$H$18,Irregular_Seas!$I$5:$I$18)="Y")*IF(D16="LWF",Irregular_Seas!$M$5:$M$18,Irregular_Seas!$N$5:$N$18)*Irregular_Seas!$G$5:$G$18*(Irregular_Seas!$P$5:$P$18+IF(D16="LWF",Inputs!$B$18,Inputs!$B$19)))))/60</f>
        <v>6.2521410503082677</v>
      </c>
      <c r="O16" s="4"/>
    </row>
    <row r="17" spans="1:15" x14ac:dyDescent="0.35">
      <c r="A17" s="18">
        <v>3</v>
      </c>
      <c r="B17" s="18" t="s">
        <v>240</v>
      </c>
      <c r="C17" s="18" t="s">
        <v>241</v>
      </c>
      <c r="D17" s="18" t="s">
        <v>205</v>
      </c>
      <c r="E17" s="18">
        <v>1</v>
      </c>
      <c r="F17" s="18" t="s">
        <v>214</v>
      </c>
      <c r="G17" s="18" t="s">
        <v>214</v>
      </c>
      <c r="H17" s="18">
        <v>0</v>
      </c>
      <c r="I17" s="18">
        <v>8</v>
      </c>
      <c r="J17" s="5">
        <f>H17*Inputs!$B$22</f>
        <v>0</v>
      </c>
      <c r="K17" s="5">
        <f>IF(F17="None",0,E17*SUMPRODUCT((IF(F17="Full",Regular_Waves!$Q$5:$Q$26,Regular_Waves!$R$5:$R$26)="Y")*IF(D17="LWF",Regular_Waves!$O$5:$O$26,Regular_Waves!$P$5:$P$26)))</f>
        <v>0</v>
      </c>
      <c r="L17" s="5">
        <f>IF(G17="None",0,E17*SUMPRODUCT((IF(G17="Full",Irregular_Seas!$H$5:$H$18,Irregular_Seas!$I$5:$I$18)="Y")*IF(D17="LWF",Irregular_Seas!$M$5:$M$18,Irregular_Seas!$N$5:$N$18)*Irregular_Seas!$G$5:$G$18))</f>
        <v>0</v>
      </c>
      <c r="M17" s="5">
        <f t="shared" si="0"/>
        <v>8</v>
      </c>
      <c r="N17" s="7">
        <f>(J17*(Inputs!$B$21+IF(D17="LWF",Inputs!$B$18,Inputs!$B$19))+I17*(Inputs!$B$23+IF(D17="LWF",Inputs!$B$18,Inputs!$B$19))+IF(F17="None",0,E17*SUMPRODUCT((IF(F17="Full",Regular_Waves!$Q$5:$Q$26,Regular_Waves!$R$5:$R$26)="Y")*IF(D17="LWF",Regular_Waves!$O$5:$O$26,Regular_Waves!$P$5:$P$26)*(Regular_Waves!$S$5:$S$26+IF(D17="LWF",Inputs!$B$18,Inputs!$B$19))))+IF(G17="None",0,E17*SUMPRODUCT((IF(G17="Full",Irregular_Seas!$H$5:$H$18,Irregular_Seas!$I$5:$I$18)="Y")*IF(D17="LWF",Irregular_Seas!$M$5:$M$18,Irregular_Seas!$N$5:$N$18)*Irregular_Seas!$G$5:$G$18*(Irregular_Seas!$P$5:$P$18+IF(D17="LWF",Inputs!$B$18,Inputs!$B$19)))))/60</f>
        <v>1.4666666666666666</v>
      </c>
      <c r="O17" s="4" t="s">
        <v>242</v>
      </c>
    </row>
    <row r="18" spans="1:15" x14ac:dyDescent="0.35">
      <c r="A18" s="18">
        <v>3</v>
      </c>
      <c r="B18" s="18" t="s">
        <v>243</v>
      </c>
      <c r="C18" s="18" t="s">
        <v>244</v>
      </c>
      <c r="D18" s="18" t="s">
        <v>245</v>
      </c>
      <c r="E18" s="18">
        <v>3</v>
      </c>
      <c r="F18" s="18" t="s">
        <v>210</v>
      </c>
      <c r="G18" s="18" t="s">
        <v>210</v>
      </c>
      <c r="H18" s="18">
        <v>0</v>
      </c>
      <c r="I18" s="18">
        <v>0</v>
      </c>
      <c r="J18" s="5">
        <f>H18*Inputs!$B$22</f>
        <v>0</v>
      </c>
      <c r="K18" s="5">
        <f>IF(F18="None",0,E18*SUMPRODUCT((IF(F18="Full",Regular_Waves!$Q$5:$Q$26,Regular_Waves!$R$5:$R$26)="Y")*IF(D18="LWF",Regular_Waves!$O$5:$O$26,Regular_Waves!$P$5:$P$26)))</f>
        <v>51</v>
      </c>
      <c r="L18" s="5">
        <f>IF(G18="None",0,E18*SUMPRODUCT((IF(G18="Full",Irregular_Seas!$H$5:$H$18,Irregular_Seas!$I$5:$I$18)="Y")*IF(D18="LWF",Irregular_Seas!$M$5:$M$18,Irregular_Seas!$N$5:$N$18)*Irregular_Seas!$G$5:$G$18))</f>
        <v>15</v>
      </c>
      <c r="M18" s="5">
        <f t="shared" si="0"/>
        <v>66</v>
      </c>
      <c r="N18" s="7">
        <f>(J18*(Inputs!$B$21+IF(D18="LWF",Inputs!$B$18,Inputs!$B$19))+I18*(Inputs!$B$23+IF(D18="LWF",Inputs!$B$18,Inputs!$B$19))+IF(F18="None",0,E18*SUMPRODUCT((IF(F18="Full",Regular_Waves!$Q$5:$Q$26,Regular_Waves!$R$5:$R$26)="Y")*IF(D18="LWF",Regular_Waves!$O$5:$O$26,Regular_Waves!$P$5:$P$26)*(Regular_Waves!$S$5:$S$26+IF(D18="LWF",Inputs!$B$18,Inputs!$B$19))))+IF(G18="None",0,E18*SUMPRODUCT((IF(G18="Full",Irregular_Seas!$H$5:$H$18,Irregular_Seas!$I$5:$I$18)="Y")*IF(D18="LWF",Irregular_Seas!$M$5:$M$18,Irregular_Seas!$N$5:$N$18)*Irregular_Seas!$G$5:$G$18*(Irregular_Seas!$P$5:$P$18+IF(D18="LWF",Inputs!$B$18,Inputs!$B$19)))))/60</f>
        <v>19.135712472806144</v>
      </c>
      <c r="O18" s="4" t="s">
        <v>246</v>
      </c>
    </row>
    <row r="19" spans="1:15" x14ac:dyDescent="0.35">
      <c r="A19" s="18">
        <v>3</v>
      </c>
      <c r="B19" s="18" t="s">
        <v>247</v>
      </c>
      <c r="C19" s="18" t="s">
        <v>248</v>
      </c>
      <c r="D19" s="18" t="s">
        <v>245</v>
      </c>
      <c r="E19" s="18">
        <v>2</v>
      </c>
      <c r="F19" s="18" t="s">
        <v>214</v>
      </c>
      <c r="G19" s="18" t="s">
        <v>214</v>
      </c>
      <c r="H19" s="18">
        <v>0</v>
      </c>
      <c r="I19" s="18">
        <v>6</v>
      </c>
      <c r="J19" s="5">
        <f>H19*Inputs!$B$22</f>
        <v>0</v>
      </c>
      <c r="K19" s="5">
        <f>IF(F19="None",0,E19*SUMPRODUCT((IF(F19="Full",Regular_Waves!$Q$5:$Q$26,Regular_Waves!$R$5:$R$26)="Y")*IF(D19="LWF",Regular_Waves!$O$5:$O$26,Regular_Waves!$P$5:$P$26)))</f>
        <v>0</v>
      </c>
      <c r="L19" s="5">
        <f>IF(G19="None",0,E19*SUMPRODUCT((IF(G19="Full",Irregular_Seas!$H$5:$H$18,Irregular_Seas!$I$5:$I$18)="Y")*IF(D19="LWF",Irregular_Seas!$M$5:$M$18,Irregular_Seas!$N$5:$N$18)*Irregular_Seas!$G$5:$G$18))</f>
        <v>0</v>
      </c>
      <c r="M19" s="5">
        <f t="shared" si="0"/>
        <v>6</v>
      </c>
      <c r="N19" s="7">
        <f>(J19*(Inputs!$B$21+IF(D19="LWF",Inputs!$B$18,Inputs!$B$19))+I19*(Inputs!$B$23+IF(D19="LWF",Inputs!$B$18,Inputs!$B$19))+IF(F19="None",0,E19*SUMPRODUCT((IF(F19="Full",Regular_Waves!$Q$5:$Q$26,Regular_Waves!$R$5:$R$26)="Y")*IF(D19="LWF",Regular_Waves!$O$5:$O$26,Regular_Waves!$P$5:$P$26)*(Regular_Waves!$S$5:$S$26+IF(D19="LWF",Inputs!$B$18,Inputs!$B$19))))+IF(G19="None",0,E19*SUMPRODUCT((IF(G19="Full",Irregular_Seas!$H$5:$H$18,Irregular_Seas!$I$5:$I$18)="Y")*IF(D19="LWF",Irregular_Seas!$M$5:$M$18,Irregular_Seas!$N$5:$N$18)*Irregular_Seas!$G$5:$G$18*(Irregular_Seas!$P$5:$P$18+IF(D19="LWF",Inputs!$B$18,Inputs!$B$19)))))/60</f>
        <v>1.5</v>
      </c>
      <c r="O19" s="4" t="s">
        <v>249</v>
      </c>
    </row>
  </sheetData>
  <dataValidations count="3">
    <dataValidation type="list" sqref="D5:D29" xr:uid="{00000000-0002-0000-0400-000000000000}">
      <formula1>"LWF,DWB"</formula1>
      <formula2>0</formula2>
    </dataValidation>
    <dataValidation type="list" sqref="F5:G29" xr:uid="{00000000-0002-0000-0400-000001000000}">
      <formula1>"Full,Reduced,None"</formula1>
      <formula2>0</formula2>
    </dataValidation>
    <dataValidation type="list" sqref="A5:A29" xr:uid="{00000000-0002-0000-0400-000002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/>
  </sheetViews>
  <sheetFormatPr defaultRowHeight="14.5" x14ac:dyDescent="0.35"/>
  <cols>
    <col min="1" max="1" width="24" customWidth="1"/>
    <col min="2" max="2" width="10" customWidth="1"/>
    <col min="3" max="3" width="26" customWidth="1"/>
    <col min="4" max="6" width="16" customWidth="1"/>
    <col min="7" max="7" width="14" customWidth="1"/>
    <col min="8" max="8" width="18" customWidth="1"/>
    <col min="9" max="9" width="60" customWidth="1"/>
  </cols>
  <sheetData>
    <row r="1" spans="1:9" ht="85" x14ac:dyDescent="0.35">
      <c r="A1" s="22" t="s">
        <v>250</v>
      </c>
      <c r="B1" s="23"/>
      <c r="C1" s="23"/>
      <c r="D1" s="23"/>
      <c r="E1" s="23"/>
      <c r="F1" s="23"/>
      <c r="G1" s="23"/>
      <c r="H1" s="23"/>
      <c r="I1" s="23"/>
    </row>
    <row r="2" spans="1:9" ht="217.5" x14ac:dyDescent="0.35">
      <c r="A2" s="23" t="s">
        <v>251</v>
      </c>
      <c r="B2" s="23"/>
      <c r="C2" s="23"/>
      <c r="D2" s="23"/>
      <c r="E2" s="23"/>
      <c r="F2" s="23"/>
      <c r="G2" s="23"/>
      <c r="H2" s="23"/>
      <c r="I2" s="23"/>
    </row>
    <row r="3" spans="1:9" x14ac:dyDescent="0.35">
      <c r="A3" s="23"/>
      <c r="B3" s="23"/>
      <c r="C3" s="23"/>
      <c r="D3" s="23"/>
      <c r="E3" s="23"/>
      <c r="F3" s="23"/>
      <c r="G3" s="23"/>
      <c r="H3" s="23"/>
      <c r="I3" s="23"/>
    </row>
    <row r="4" spans="1:9" ht="29" x14ac:dyDescent="0.35">
      <c r="A4" s="24" t="s">
        <v>252</v>
      </c>
      <c r="B4" s="23"/>
      <c r="C4" s="23"/>
      <c r="D4" s="23"/>
      <c r="E4" s="23"/>
      <c r="F4" s="23"/>
      <c r="G4" s="23"/>
      <c r="H4" s="23"/>
      <c r="I4" s="23"/>
    </row>
    <row r="5" spans="1:9" ht="29" x14ac:dyDescent="0.35">
      <c r="A5" s="25" t="s">
        <v>253</v>
      </c>
      <c r="B5" s="25" t="s">
        <v>254</v>
      </c>
      <c r="C5" s="25" t="s">
        <v>255</v>
      </c>
      <c r="D5" s="25" t="s">
        <v>256</v>
      </c>
      <c r="E5" s="25" t="s">
        <v>257</v>
      </c>
      <c r="F5" s="25" t="s">
        <v>258</v>
      </c>
      <c r="G5" s="25" t="s">
        <v>259</v>
      </c>
      <c r="H5" s="25" t="s">
        <v>260</v>
      </c>
      <c r="I5" s="25" t="s">
        <v>261</v>
      </c>
    </row>
    <row r="6" spans="1:9" x14ac:dyDescent="0.35">
      <c r="A6" s="23" t="s">
        <v>262</v>
      </c>
      <c r="B6" s="23" t="s">
        <v>263</v>
      </c>
      <c r="C6" s="23" t="s">
        <v>264</v>
      </c>
      <c r="D6" s="26">
        <v>2.5609999999999999</v>
      </c>
      <c r="E6" s="26">
        <v>2.5190000000000001</v>
      </c>
      <c r="F6" s="27">
        <f>E6*SQRT(Inputs!$B$4)</f>
        <v>17.812019818089134</v>
      </c>
      <c r="G6" s="28">
        <v>0.111</v>
      </c>
      <c r="H6" s="26">
        <v>0.60399999999999998</v>
      </c>
      <c r="I6" s="23" t="s">
        <v>265</v>
      </c>
    </row>
    <row r="7" spans="1:9" ht="29" x14ac:dyDescent="0.35">
      <c r="A7" s="23" t="s">
        <v>262</v>
      </c>
      <c r="B7" s="23" t="s">
        <v>263</v>
      </c>
      <c r="C7" s="23" t="s">
        <v>266</v>
      </c>
      <c r="D7" s="26">
        <v>2.548</v>
      </c>
      <c r="E7" s="26">
        <v>2.508</v>
      </c>
      <c r="F7" s="27">
        <f>E7*SQRT(Inputs!$B$4)</f>
        <v>17.734238072158611</v>
      </c>
      <c r="G7" s="28">
        <v>0.111</v>
      </c>
      <c r="H7" s="26">
        <v>0.60399999999999998</v>
      </c>
      <c r="I7" s="23" t="s">
        <v>267</v>
      </c>
    </row>
    <row r="8" spans="1:9" x14ac:dyDescent="0.35">
      <c r="A8" s="23" t="s">
        <v>262</v>
      </c>
      <c r="B8" s="23" t="s">
        <v>268</v>
      </c>
      <c r="C8" s="23" t="s">
        <v>264</v>
      </c>
      <c r="D8" s="26">
        <v>2.7610000000000001</v>
      </c>
      <c r="E8" s="26">
        <v>2.6840000000000002</v>
      </c>
      <c r="F8" s="27">
        <f>E8*SQRT(Inputs!$B$4)</f>
        <v>18.978746007046936</v>
      </c>
      <c r="G8" s="28">
        <v>4.2000000000000003E-2</v>
      </c>
      <c r="H8" s="26">
        <v>0.217</v>
      </c>
      <c r="I8" s="23" t="s">
        <v>265</v>
      </c>
    </row>
    <row r="9" spans="1:9" ht="29" x14ac:dyDescent="0.35">
      <c r="A9" s="23" t="s">
        <v>262</v>
      </c>
      <c r="B9" s="23" t="s">
        <v>268</v>
      </c>
      <c r="C9" s="23" t="s">
        <v>266</v>
      </c>
      <c r="D9" s="26">
        <v>2.7229999999999999</v>
      </c>
      <c r="E9" s="26">
        <v>2.661</v>
      </c>
      <c r="F9" s="27">
        <f>E9*SQRT(Inputs!$B$4)</f>
        <v>18.816111447374031</v>
      </c>
      <c r="G9" s="28">
        <v>4.2000000000000003E-2</v>
      </c>
      <c r="H9" s="26">
        <v>0.217</v>
      </c>
      <c r="I9" s="23" t="s">
        <v>267</v>
      </c>
    </row>
    <row r="10" spans="1:9" ht="29" x14ac:dyDescent="0.35">
      <c r="A10" s="23" t="s">
        <v>269</v>
      </c>
      <c r="B10" s="23" t="s">
        <v>263</v>
      </c>
      <c r="C10" s="23" t="s">
        <v>264</v>
      </c>
      <c r="D10" s="26">
        <v>2.5859999999999999</v>
      </c>
      <c r="E10" s="26">
        <v>2.544</v>
      </c>
      <c r="F10" s="27">
        <f>E10*SQRT(Inputs!$B$4)</f>
        <v>17.988796513385768</v>
      </c>
      <c r="G10" s="28">
        <v>0.113</v>
      </c>
      <c r="H10" s="26">
        <v>0.625</v>
      </c>
      <c r="I10" s="23" t="s">
        <v>267</v>
      </c>
    </row>
    <row r="11" spans="1:9" ht="29" x14ac:dyDescent="0.35">
      <c r="A11" s="23" t="s">
        <v>269</v>
      </c>
      <c r="B11" s="23" t="s">
        <v>263</v>
      </c>
      <c r="C11" s="23" t="s">
        <v>266</v>
      </c>
      <c r="D11" s="26">
        <v>2.5840000000000001</v>
      </c>
      <c r="E11" s="26">
        <v>2.5419999999999998</v>
      </c>
      <c r="F11" s="27">
        <f>E11*SQRT(Inputs!$B$4)</f>
        <v>17.974654377762036</v>
      </c>
      <c r="G11" s="28">
        <v>0.113</v>
      </c>
      <c r="H11" s="26">
        <v>0.625</v>
      </c>
      <c r="I11" s="23" t="s">
        <v>267</v>
      </c>
    </row>
    <row r="12" spans="1:9" ht="29" x14ac:dyDescent="0.35">
      <c r="A12" s="23" t="s">
        <v>269</v>
      </c>
      <c r="B12" s="23" t="s">
        <v>263</v>
      </c>
      <c r="C12" s="23" t="s">
        <v>270</v>
      </c>
      <c r="D12" s="26">
        <v>2.5830000000000002</v>
      </c>
      <c r="E12" s="26">
        <v>2.5419999999999998</v>
      </c>
      <c r="F12" s="27">
        <f>E12*SQRT(Inputs!$B$4)</f>
        <v>17.974654377762036</v>
      </c>
      <c r="G12" s="28">
        <v>0.113</v>
      </c>
      <c r="H12" s="26">
        <v>0.625</v>
      </c>
      <c r="I12" s="23" t="s">
        <v>267</v>
      </c>
    </row>
    <row r="13" spans="1:9" ht="29" x14ac:dyDescent="0.35">
      <c r="A13" s="23" t="s">
        <v>269</v>
      </c>
      <c r="B13" s="23" t="s">
        <v>271</v>
      </c>
      <c r="C13" s="23" t="s">
        <v>264</v>
      </c>
      <c r="D13" s="26">
        <v>2.8559999999999999</v>
      </c>
      <c r="E13" s="26">
        <v>2.7919999999999998</v>
      </c>
      <c r="F13" s="27">
        <f>E13*SQRT(Inputs!$B$4)</f>
        <v>19.742421330728405</v>
      </c>
      <c r="G13" s="28">
        <v>3.5999999999999997E-2</v>
      </c>
      <c r="H13" s="26">
        <v>0.185</v>
      </c>
      <c r="I13" s="23" t="s">
        <v>267</v>
      </c>
    </row>
    <row r="14" spans="1:9" ht="29" x14ac:dyDescent="0.35">
      <c r="A14" s="23" t="s">
        <v>269</v>
      </c>
      <c r="B14" s="23" t="s">
        <v>271</v>
      </c>
      <c r="C14" s="23" t="s">
        <v>266</v>
      </c>
      <c r="D14" s="26">
        <v>2.835</v>
      </c>
      <c r="E14" s="26">
        <v>2.7719999999999998</v>
      </c>
      <c r="F14" s="27">
        <f>E14*SQRT(Inputs!$B$4)</f>
        <v>19.600999974491096</v>
      </c>
      <c r="G14" s="28">
        <v>3.5999999999999997E-2</v>
      </c>
      <c r="H14" s="26">
        <v>0.185</v>
      </c>
      <c r="I14" s="23" t="s">
        <v>267</v>
      </c>
    </row>
    <row r="15" spans="1:9" ht="29" x14ac:dyDescent="0.35">
      <c r="A15" s="23" t="s">
        <v>269</v>
      </c>
      <c r="B15" s="23" t="s">
        <v>271</v>
      </c>
      <c r="C15" s="23" t="s">
        <v>270</v>
      </c>
      <c r="D15" s="26">
        <v>2.7480000000000002</v>
      </c>
      <c r="E15" s="26">
        <v>2.6850000000000001</v>
      </c>
      <c r="F15" s="27">
        <f>E15*SQRT(Inputs!$B$4)</f>
        <v>18.985817074858801</v>
      </c>
      <c r="G15" s="28">
        <v>3.5999999999999997E-2</v>
      </c>
      <c r="H15" s="26">
        <v>0.185</v>
      </c>
      <c r="I15" s="23" t="s">
        <v>267</v>
      </c>
    </row>
    <row r="16" spans="1:9" ht="29" x14ac:dyDescent="0.35">
      <c r="A16" s="23" t="s">
        <v>272</v>
      </c>
      <c r="B16" s="23" t="s">
        <v>263</v>
      </c>
      <c r="C16" s="23" t="s">
        <v>264</v>
      </c>
      <c r="D16" s="26">
        <v>2.5990000000000002</v>
      </c>
      <c r="E16" s="26">
        <v>2.5569999999999999</v>
      </c>
      <c r="F16" s="27">
        <f>E16*SQRT(Inputs!$B$4)</f>
        <v>18.08072039494002</v>
      </c>
      <c r="G16" s="28">
        <v>0.10299999999999999</v>
      </c>
      <c r="H16" s="26">
        <v>0.57399999999999995</v>
      </c>
      <c r="I16" s="23" t="s">
        <v>267</v>
      </c>
    </row>
    <row r="17" spans="1:9" ht="29" x14ac:dyDescent="0.35">
      <c r="A17" s="23" t="s">
        <v>272</v>
      </c>
      <c r="B17" s="23" t="s">
        <v>263</v>
      </c>
      <c r="C17" s="23" t="s">
        <v>266</v>
      </c>
      <c r="D17" s="26">
        <v>2.5979999999999999</v>
      </c>
      <c r="E17" s="26">
        <v>2.556</v>
      </c>
      <c r="F17" s="27">
        <f>E17*SQRT(Inputs!$B$4)</f>
        <v>18.073649327128155</v>
      </c>
      <c r="G17" s="28">
        <v>0.10299999999999999</v>
      </c>
      <c r="H17" s="26">
        <v>0.57399999999999995</v>
      </c>
      <c r="I17" s="23" t="s">
        <v>267</v>
      </c>
    </row>
    <row r="18" spans="1:9" ht="29" x14ac:dyDescent="0.35">
      <c r="A18" s="23" t="s">
        <v>272</v>
      </c>
      <c r="B18" s="23" t="s">
        <v>263</v>
      </c>
      <c r="C18" s="23" t="s">
        <v>270</v>
      </c>
      <c r="D18" s="26">
        <v>2.5979999999999999</v>
      </c>
      <c r="E18" s="26">
        <v>2.5550000000000002</v>
      </c>
      <c r="F18" s="27">
        <f>E18*SQRT(Inputs!$B$4)</f>
        <v>18.066578259316291</v>
      </c>
      <c r="G18" s="28">
        <v>0.10299999999999999</v>
      </c>
      <c r="H18" s="26">
        <v>0.57399999999999995</v>
      </c>
      <c r="I18" s="23" t="s">
        <v>267</v>
      </c>
    </row>
    <row r="19" spans="1:9" ht="29" x14ac:dyDescent="0.35">
      <c r="A19" s="23" t="s">
        <v>272</v>
      </c>
      <c r="B19" s="23" t="s">
        <v>271</v>
      </c>
      <c r="C19" s="23" t="s">
        <v>264</v>
      </c>
      <c r="D19" s="26">
        <v>2.9260000000000002</v>
      </c>
      <c r="E19" s="26">
        <v>2.8639999999999999</v>
      </c>
      <c r="F19" s="27">
        <f>E19*SQRT(Inputs!$B$4)</f>
        <v>20.25153821318272</v>
      </c>
      <c r="G19" s="28">
        <v>0.03</v>
      </c>
      <c r="H19" s="26">
        <v>0.161</v>
      </c>
      <c r="I19" s="23" t="s">
        <v>267</v>
      </c>
    </row>
    <row r="20" spans="1:9" ht="29" x14ac:dyDescent="0.35">
      <c r="A20" s="23" t="s">
        <v>272</v>
      </c>
      <c r="B20" s="23" t="s">
        <v>271</v>
      </c>
      <c r="C20" s="23" t="s">
        <v>266</v>
      </c>
      <c r="D20" s="26">
        <v>2.9039999999999999</v>
      </c>
      <c r="E20" s="26">
        <v>2.8420000000000001</v>
      </c>
      <c r="F20" s="27">
        <f>E20*SQRT(Inputs!$B$4)</f>
        <v>20.095974721321681</v>
      </c>
      <c r="G20" s="28">
        <v>0.03</v>
      </c>
      <c r="H20" s="26">
        <v>0.161</v>
      </c>
      <c r="I20" s="23" t="s">
        <v>267</v>
      </c>
    </row>
    <row r="21" spans="1:9" ht="29" x14ac:dyDescent="0.35">
      <c r="A21" s="23" t="s">
        <v>272</v>
      </c>
      <c r="B21" s="23" t="s">
        <v>271</v>
      </c>
      <c r="C21" s="23" t="s">
        <v>270</v>
      </c>
      <c r="D21" s="26">
        <v>2.7989999999999999</v>
      </c>
      <c r="E21" s="26">
        <v>2.7370000000000001</v>
      </c>
      <c r="F21" s="27">
        <f>E21*SQRT(Inputs!$B$4)</f>
        <v>19.353512601075806</v>
      </c>
      <c r="G21" s="28">
        <v>0.03</v>
      </c>
      <c r="H21" s="26">
        <v>0.161</v>
      </c>
      <c r="I21" s="23" t="s">
        <v>267</v>
      </c>
    </row>
    <row r="22" spans="1:9" ht="130.5" x14ac:dyDescent="0.35">
      <c r="A22" s="23" t="s">
        <v>273</v>
      </c>
      <c r="B22" s="23"/>
      <c r="C22" s="23"/>
      <c r="D22" s="23"/>
      <c r="E22" s="23"/>
      <c r="F22" s="23"/>
      <c r="G22" s="23"/>
      <c r="H22" s="23"/>
      <c r="I22" s="23"/>
    </row>
    <row r="23" spans="1:9" ht="87" x14ac:dyDescent="0.35">
      <c r="A23" s="23" t="s">
        <v>274</v>
      </c>
      <c r="B23" s="23"/>
      <c r="C23" s="23"/>
      <c r="D23" s="23"/>
      <c r="E23" s="23"/>
      <c r="F23" s="23"/>
      <c r="G23" s="23"/>
      <c r="H23" s="23"/>
      <c r="I23" s="23"/>
    </row>
    <row r="24" spans="1:9" x14ac:dyDescent="0.3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58" x14ac:dyDescent="0.35">
      <c r="A25" s="24" t="s">
        <v>275</v>
      </c>
      <c r="B25" s="23"/>
      <c r="C25" s="23"/>
      <c r="D25" s="23"/>
      <c r="E25" s="23"/>
      <c r="F25" s="23"/>
      <c r="G25" s="23"/>
      <c r="H25" s="23"/>
      <c r="I25" s="23"/>
    </row>
    <row r="26" spans="1:9" ht="43.5" x14ac:dyDescent="0.35">
      <c r="A26" s="25" t="s">
        <v>253</v>
      </c>
      <c r="B26" s="25" t="s">
        <v>276</v>
      </c>
      <c r="C26" s="25" t="s">
        <v>277</v>
      </c>
      <c r="D26" s="25" t="s">
        <v>278</v>
      </c>
      <c r="E26" s="25" t="s">
        <v>279</v>
      </c>
      <c r="F26" s="25" t="s">
        <v>280</v>
      </c>
      <c r="G26" s="25" t="s">
        <v>281</v>
      </c>
      <c r="H26" s="25" t="s">
        <v>282</v>
      </c>
      <c r="I26" s="25" t="s">
        <v>283</v>
      </c>
    </row>
    <row r="27" spans="1:9" x14ac:dyDescent="0.35">
      <c r="A27" s="23" t="s">
        <v>262</v>
      </c>
      <c r="B27" s="23" t="s">
        <v>284</v>
      </c>
      <c r="C27" s="23">
        <v>16.559999999999999</v>
      </c>
      <c r="D27" s="23">
        <v>26.39</v>
      </c>
      <c r="E27" s="23">
        <v>1.1200000000000001</v>
      </c>
      <c r="F27" s="29">
        <f>C27*SQRT(Inputs!$B$4)</f>
        <v>117.09688296449227</v>
      </c>
      <c r="G27" s="29">
        <f>D27*SQRT(Inputs!$B$4)</f>
        <v>186.6054795551299</v>
      </c>
      <c r="H27" s="23">
        <v>2.2000000000000002</v>
      </c>
      <c r="I27" s="23" t="s">
        <v>285</v>
      </c>
    </row>
    <row r="28" spans="1:9" ht="29" x14ac:dyDescent="0.35">
      <c r="A28" s="23" t="s">
        <v>269</v>
      </c>
      <c r="B28" s="23" t="s">
        <v>286</v>
      </c>
      <c r="C28" s="23">
        <v>23.13</v>
      </c>
      <c r="D28" s="23">
        <v>51.63</v>
      </c>
      <c r="E28" s="23">
        <v>24.78</v>
      </c>
      <c r="F28" s="29">
        <f>C28*SQRT(Inputs!$B$4)</f>
        <v>163.55379848844845</v>
      </c>
      <c r="G28" s="29">
        <f>D28*SQRT(Inputs!$B$4)</f>
        <v>365.0792311266145</v>
      </c>
      <c r="H28" s="23">
        <v>4.3</v>
      </c>
      <c r="I28" s="23"/>
    </row>
    <row r="29" spans="1:9" x14ac:dyDescent="0.35">
      <c r="A29" s="23" t="s">
        <v>269</v>
      </c>
      <c r="B29" s="23" t="s">
        <v>287</v>
      </c>
      <c r="C29" s="23">
        <v>10.49</v>
      </c>
      <c r="D29" s="23">
        <v>28.24</v>
      </c>
      <c r="E29" s="23">
        <v>18.75</v>
      </c>
      <c r="F29" s="29">
        <f>C29*SQRT(Inputs!$B$4)</f>
        <v>74.175501346468835</v>
      </c>
      <c r="G29" s="29">
        <f>D29*SQRT(Inputs!$B$4)</f>
        <v>199.68695500708102</v>
      </c>
      <c r="H29" s="23">
        <v>2.4</v>
      </c>
      <c r="I29" s="23"/>
    </row>
    <row r="30" spans="1:9" ht="29" x14ac:dyDescent="0.35">
      <c r="A30" s="23" t="s">
        <v>272</v>
      </c>
      <c r="B30" s="23" t="s">
        <v>286</v>
      </c>
      <c r="C30" s="23">
        <v>22.92</v>
      </c>
      <c r="D30" s="23">
        <v>60.76</v>
      </c>
      <c r="E30" s="23">
        <v>32.72</v>
      </c>
      <c r="F30" s="29">
        <f>C30*SQRT(Inputs!$B$4)</f>
        <v>162.0688742479567</v>
      </c>
      <c r="G30" s="29">
        <f>D30*SQRT(Inputs!$B$4)</f>
        <v>429.63808024894627</v>
      </c>
      <c r="H30" s="23">
        <v>5.0999999999999996</v>
      </c>
      <c r="I30" s="23"/>
    </row>
    <row r="31" spans="1:9" x14ac:dyDescent="0.35">
      <c r="A31" s="23" t="s">
        <v>272</v>
      </c>
      <c r="B31" s="23" t="s">
        <v>287</v>
      </c>
      <c r="C31" s="23">
        <v>9.91</v>
      </c>
      <c r="D31" s="23">
        <v>31.05</v>
      </c>
      <c r="E31" s="23">
        <v>17.09</v>
      </c>
      <c r="F31" s="29">
        <f>C31*SQRT(Inputs!$B$4)</f>
        <v>70.07428201558686</v>
      </c>
      <c r="G31" s="29">
        <f>D31*SQRT(Inputs!$B$4)</f>
        <v>219.55665555842302</v>
      </c>
      <c r="H31" s="23">
        <v>2.6</v>
      </c>
      <c r="I31" s="23"/>
    </row>
    <row r="32" spans="1:9" ht="116" x14ac:dyDescent="0.35">
      <c r="A32" s="23" t="s">
        <v>288</v>
      </c>
      <c r="B32" s="23"/>
      <c r="C32" s="23"/>
      <c r="D32" s="23"/>
      <c r="E32" s="23"/>
      <c r="F32" s="23"/>
      <c r="G32" s="23"/>
      <c r="H32" s="23"/>
      <c r="I32" s="23"/>
    </row>
    <row r="33" spans="1:9" x14ac:dyDescent="0.35">
      <c r="A33" s="23"/>
      <c r="B33" s="23"/>
      <c r="C33" s="23"/>
      <c r="D33" s="23"/>
      <c r="E33" s="23"/>
      <c r="F33" s="23"/>
      <c r="G33" s="23"/>
      <c r="H33" s="23"/>
      <c r="I33" s="23"/>
    </row>
    <row r="34" spans="1:9" ht="87" x14ac:dyDescent="0.35">
      <c r="A34" s="24" t="s">
        <v>289</v>
      </c>
      <c r="B34" s="23"/>
      <c r="C34" s="23"/>
      <c r="D34" s="23"/>
      <c r="E34" s="23"/>
      <c r="F34" s="23"/>
      <c r="G34" s="23"/>
      <c r="H34" s="23"/>
      <c r="I34" s="23"/>
    </row>
    <row r="35" spans="1:9" ht="29" x14ac:dyDescent="0.35">
      <c r="A35" s="25" t="s">
        <v>290</v>
      </c>
      <c r="B35" s="25" t="s">
        <v>291</v>
      </c>
      <c r="C35" s="25" t="s">
        <v>292</v>
      </c>
      <c r="D35" s="25"/>
      <c r="E35" s="25"/>
      <c r="F35" s="25" t="s">
        <v>293</v>
      </c>
      <c r="G35" s="25"/>
      <c r="H35" s="25"/>
      <c r="I35" s="25" t="s">
        <v>283</v>
      </c>
    </row>
    <row r="36" spans="1:9" ht="43.5" x14ac:dyDescent="0.35">
      <c r="A36" s="23" t="s">
        <v>294</v>
      </c>
      <c r="B36" s="23">
        <v>2.661</v>
      </c>
      <c r="C36" s="23" t="s">
        <v>295</v>
      </c>
      <c r="D36" s="23"/>
      <c r="E36" s="23"/>
      <c r="F36" s="23" t="s">
        <v>296</v>
      </c>
      <c r="G36" s="23"/>
      <c r="H36" s="23"/>
      <c r="I36" s="23" t="s">
        <v>297</v>
      </c>
    </row>
    <row r="37" spans="1:9" ht="43.5" x14ac:dyDescent="0.35">
      <c r="A37" s="23" t="s">
        <v>298</v>
      </c>
      <c r="B37" s="23">
        <v>2.7719999999999998</v>
      </c>
      <c r="C37" s="23" t="s">
        <v>299</v>
      </c>
      <c r="D37" s="23"/>
      <c r="E37" s="23"/>
      <c r="F37" s="23" t="s">
        <v>300</v>
      </c>
      <c r="G37" s="23"/>
      <c r="H37" s="23"/>
      <c r="I37" s="23" t="s">
        <v>297</v>
      </c>
    </row>
    <row r="38" spans="1:9" ht="43.5" x14ac:dyDescent="0.35">
      <c r="A38" s="23" t="s">
        <v>301</v>
      </c>
      <c r="B38" s="23">
        <v>2.8420000000000001</v>
      </c>
      <c r="C38" s="23" t="s">
        <v>302</v>
      </c>
      <c r="D38" s="23"/>
      <c r="E38" s="23"/>
      <c r="F38" s="23" t="s">
        <v>303</v>
      </c>
      <c r="G38" s="23"/>
      <c r="H38" s="23"/>
      <c r="I38" s="23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Inputs</vt:lpstr>
      <vt:lpstr>Regular_Waves</vt:lpstr>
      <vt:lpstr>Irregular_Seas</vt:lpstr>
      <vt:lpstr>Configurations</vt:lpstr>
      <vt:lpstr>FloatSim_Predictions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XABIER LOPEZ</cp:lastModifiedBy>
  <cp:revision>0</cp:revision>
  <dcterms:created xsi:type="dcterms:W3CDTF">2026-09-25T22:36:21Z</dcterms:created>
  <dcterms:modified xsi:type="dcterms:W3CDTF">2026-10-02T09:46:35Z</dcterms:modified>
  <dc:language>en-US</dc:language>
</cp:coreProperties>
</file>